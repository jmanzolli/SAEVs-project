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omanzolli/Documents/GitHub/SAEVs/"/>
    </mc:Choice>
  </mc:AlternateContent>
  <xr:revisionPtr revIDLastSave="0" documentId="13_ncr:1_{0A1DA6A5-685D-1047-BCAD-D01CE7020B19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Sheet1" sheetId="1" r:id="rId1"/>
  </sheets>
  <definedNames>
    <definedName name="_xlchart.v1.0" hidden="1">Sheet1!$A$1</definedName>
    <definedName name="_xlchart.v1.1" hidden="1">Sheet1!$A$2:$A$102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3" i="1" l="1"/>
  <c r="A103" i="1"/>
  <c r="C2" i="1"/>
  <c r="B6" i="1"/>
  <c r="D7" i="1"/>
  <c r="D8" i="1"/>
  <c r="D9" i="1"/>
  <c r="C10" i="1"/>
  <c r="C14" i="1"/>
  <c r="B18" i="1"/>
  <c r="D22" i="1"/>
  <c r="D24" i="1"/>
  <c r="D25" i="1"/>
  <c r="B26" i="1"/>
  <c r="D30" i="1"/>
  <c r="D32" i="1"/>
  <c r="D33" i="1"/>
  <c r="B34" i="1"/>
  <c r="D38" i="1"/>
  <c r="D40" i="1"/>
  <c r="C41" i="1"/>
  <c r="B42" i="1"/>
  <c r="C46" i="1"/>
  <c r="D48" i="1"/>
  <c r="C49" i="1"/>
  <c r="B50" i="1"/>
  <c r="D54" i="1"/>
  <c r="C56" i="1"/>
  <c r="C57" i="1"/>
  <c r="C58" i="1"/>
  <c r="C62" i="1"/>
  <c r="C63" i="1"/>
  <c r="C64" i="1"/>
  <c r="C65" i="1"/>
  <c r="C66" i="1"/>
  <c r="D70" i="1"/>
  <c r="C72" i="1"/>
  <c r="C73" i="1"/>
  <c r="C74" i="1"/>
  <c r="D78" i="1"/>
  <c r="C80" i="1"/>
  <c r="C81" i="1"/>
  <c r="C38" i="1"/>
  <c r="C16" i="1"/>
  <c r="D14" i="1"/>
  <c r="C11" i="1"/>
  <c r="D4" i="1"/>
  <c r="D5" i="1"/>
  <c r="F2" i="1"/>
  <c r="E32" i="1"/>
  <c r="E79" i="1"/>
  <c r="D3" i="1"/>
  <c r="D12" i="1"/>
  <c r="D13" i="1"/>
  <c r="D15" i="1"/>
  <c r="D16" i="1"/>
  <c r="D17" i="1"/>
  <c r="D19" i="1"/>
  <c r="D20" i="1"/>
  <c r="D21" i="1"/>
  <c r="D23" i="1"/>
  <c r="D26" i="1"/>
  <c r="D27" i="1"/>
  <c r="D28" i="1"/>
  <c r="D29" i="1"/>
  <c r="D31" i="1"/>
  <c r="D34" i="1"/>
  <c r="D35" i="1"/>
  <c r="D36" i="1"/>
  <c r="D37" i="1"/>
  <c r="D39" i="1"/>
  <c r="D42" i="1"/>
  <c r="D43" i="1"/>
  <c r="D44" i="1"/>
  <c r="D45" i="1"/>
  <c r="D47" i="1"/>
  <c r="D50" i="1"/>
  <c r="D51" i="1"/>
  <c r="D52" i="1"/>
  <c r="D53" i="1"/>
  <c r="D55" i="1"/>
  <c r="D56" i="1"/>
  <c r="D59" i="1"/>
  <c r="D60" i="1"/>
  <c r="D61" i="1"/>
  <c r="D63" i="1"/>
  <c r="D64" i="1"/>
  <c r="D67" i="1"/>
  <c r="D68" i="1"/>
  <c r="D69" i="1"/>
  <c r="D71" i="1"/>
  <c r="D72" i="1"/>
  <c r="D75" i="1"/>
  <c r="D76" i="1"/>
  <c r="D77" i="1"/>
  <c r="D79" i="1"/>
  <c r="D80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C3" i="1"/>
  <c r="C7" i="1"/>
  <c r="C12" i="1"/>
  <c r="C13" i="1"/>
  <c r="C15" i="1"/>
  <c r="C17" i="1"/>
  <c r="C19" i="1"/>
  <c r="C20" i="1"/>
  <c r="C21" i="1"/>
  <c r="C23" i="1"/>
  <c r="C26" i="1"/>
  <c r="C27" i="1"/>
  <c r="C28" i="1"/>
  <c r="C29" i="1"/>
  <c r="C31" i="1"/>
  <c r="C34" i="1"/>
  <c r="C35" i="1"/>
  <c r="C36" i="1"/>
  <c r="C37" i="1"/>
  <c r="C39" i="1"/>
  <c r="C40" i="1"/>
  <c r="C43" i="1"/>
  <c r="C44" i="1"/>
  <c r="C45" i="1"/>
  <c r="C47" i="1"/>
  <c r="C48" i="1"/>
  <c r="C51" i="1"/>
  <c r="C52" i="1"/>
  <c r="C53" i="1"/>
  <c r="C55" i="1"/>
  <c r="C59" i="1"/>
  <c r="C60" i="1"/>
  <c r="C61" i="1"/>
  <c r="C67" i="1"/>
  <c r="C68" i="1"/>
  <c r="C69" i="1"/>
  <c r="C70" i="1"/>
  <c r="C71" i="1"/>
  <c r="C75" i="1"/>
  <c r="C76" i="1"/>
  <c r="C77" i="1"/>
  <c r="C78" i="1"/>
  <c r="C79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B3" i="1"/>
  <c r="B7" i="1"/>
  <c r="B8" i="1"/>
  <c r="B9" i="1"/>
  <c r="B11" i="1"/>
  <c r="B12" i="1"/>
  <c r="B13" i="1"/>
  <c r="B15" i="1"/>
  <c r="B16" i="1"/>
  <c r="B17" i="1"/>
  <c r="B19" i="1"/>
  <c r="B20" i="1"/>
  <c r="B21" i="1"/>
  <c r="B23" i="1"/>
  <c r="B24" i="1"/>
  <c r="B25" i="1"/>
  <c r="B27" i="1"/>
  <c r="B28" i="1"/>
  <c r="B29" i="1"/>
  <c r="B31" i="1"/>
  <c r="B32" i="1"/>
  <c r="B33" i="1"/>
  <c r="B35" i="1"/>
  <c r="B36" i="1"/>
  <c r="B37" i="1"/>
  <c r="B39" i="1"/>
  <c r="B40" i="1"/>
  <c r="B41" i="1"/>
  <c r="B43" i="1"/>
  <c r="B44" i="1"/>
  <c r="B45" i="1"/>
  <c r="B47" i="1"/>
  <c r="B48" i="1"/>
  <c r="B49" i="1"/>
  <c r="B51" i="1"/>
  <c r="B52" i="1"/>
  <c r="B53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2" i="1"/>
  <c r="C50" i="1" l="1"/>
  <c r="C42" i="1"/>
  <c r="C33" i="1"/>
  <c r="C25" i="1"/>
  <c r="D2" i="1"/>
  <c r="D74" i="1"/>
  <c r="D66" i="1"/>
  <c r="D58" i="1"/>
  <c r="D49" i="1"/>
  <c r="D41" i="1"/>
  <c r="B46" i="1"/>
  <c r="B38" i="1"/>
  <c r="B30" i="1"/>
  <c r="B22" i="1"/>
  <c r="B14" i="1"/>
  <c r="C32" i="1"/>
  <c r="C24" i="1"/>
  <c r="D81" i="1"/>
  <c r="D73" i="1"/>
  <c r="D65" i="1"/>
  <c r="D57" i="1"/>
  <c r="C18" i="1"/>
  <c r="C30" i="1"/>
  <c r="C22" i="1"/>
  <c r="D46" i="1"/>
  <c r="C9" i="1"/>
  <c r="D62" i="1"/>
  <c r="D10" i="1"/>
  <c r="B10" i="1"/>
  <c r="C8" i="1"/>
  <c r="B54" i="1"/>
  <c r="C54" i="1"/>
  <c r="D18" i="1"/>
  <c r="D11" i="1"/>
  <c r="D6" i="1"/>
  <c r="C6" i="1"/>
  <c r="B5" i="1"/>
  <c r="C5" i="1"/>
  <c r="B4" i="1"/>
  <c r="C4" i="1"/>
  <c r="E54" i="1"/>
  <c r="E25" i="1"/>
  <c r="E97" i="1"/>
  <c r="E72" i="1"/>
  <c r="E50" i="1"/>
  <c r="E24" i="1"/>
  <c r="E96" i="1"/>
  <c r="E70" i="1"/>
  <c r="E44" i="1"/>
  <c r="E23" i="1"/>
  <c r="E78" i="1"/>
  <c r="E90" i="1"/>
  <c r="E69" i="1"/>
  <c r="E42" i="1"/>
  <c r="E16" i="1"/>
  <c r="E88" i="1"/>
  <c r="E62" i="1"/>
  <c r="E41" i="1"/>
  <c r="E14" i="1"/>
  <c r="E52" i="1"/>
  <c r="E87" i="1"/>
  <c r="E61" i="1"/>
  <c r="E36" i="1"/>
  <c r="E6" i="1"/>
  <c r="E80" i="1"/>
  <c r="E60" i="1"/>
  <c r="E33" i="1"/>
  <c r="E4" i="1"/>
  <c r="E89" i="1"/>
  <c r="E71" i="1"/>
  <c r="E53" i="1"/>
  <c r="E34" i="1"/>
  <c r="E15" i="1"/>
  <c r="E81" i="1"/>
  <c r="E63" i="1"/>
  <c r="E45" i="1"/>
  <c r="E26" i="1"/>
  <c r="E5" i="1"/>
  <c r="E77" i="1"/>
  <c r="E49" i="1"/>
  <c r="E31" i="1"/>
  <c r="E94" i="1"/>
  <c r="E85" i="1"/>
  <c r="E76" i="1"/>
  <c r="E66" i="1"/>
  <c r="E57" i="1"/>
  <c r="E48" i="1"/>
  <c r="E39" i="1"/>
  <c r="E30" i="1"/>
  <c r="E21" i="1"/>
  <c r="E9" i="1"/>
  <c r="E86" i="1"/>
  <c r="E68" i="1"/>
  <c r="E40" i="1"/>
  <c r="E22" i="1"/>
  <c r="E93" i="1"/>
  <c r="E84" i="1"/>
  <c r="E74" i="1"/>
  <c r="E65" i="1"/>
  <c r="E56" i="1"/>
  <c r="E47" i="1"/>
  <c r="E38" i="1"/>
  <c r="E29" i="1"/>
  <c r="E20" i="1"/>
  <c r="E8" i="1"/>
  <c r="E13" i="1"/>
  <c r="E95" i="1"/>
  <c r="E58" i="1"/>
  <c r="E12" i="1"/>
  <c r="E92" i="1"/>
  <c r="E82" i="1"/>
  <c r="E73" i="1"/>
  <c r="E64" i="1"/>
  <c r="E55" i="1"/>
  <c r="E46" i="1"/>
  <c r="E37" i="1"/>
  <c r="E28" i="1"/>
  <c r="E17" i="1"/>
  <c r="E7" i="1"/>
  <c r="E91" i="1"/>
  <c r="E83" i="1"/>
  <c r="E75" i="1"/>
  <c r="E67" i="1"/>
  <c r="E59" i="1"/>
  <c r="E51" i="1"/>
  <c r="E43" i="1"/>
  <c r="E35" i="1"/>
  <c r="E27" i="1"/>
  <c r="E19" i="1"/>
  <c r="E11" i="1"/>
  <c r="E3" i="1"/>
  <c r="E18" i="1"/>
  <c r="E10" i="1"/>
  <c r="E2" i="1"/>
</calcChain>
</file>

<file path=xl/sharedStrings.xml><?xml version="1.0" encoding="utf-8"?>
<sst xmlns="http://schemas.openxmlformats.org/spreadsheetml/2006/main" count="6" uniqueCount="6">
  <si>
    <t>Demand (1%)</t>
  </si>
  <si>
    <t>Demand (5%)</t>
  </si>
  <si>
    <t>Demand (10%)</t>
  </si>
  <si>
    <t>Outage</t>
  </si>
  <si>
    <t>Total demand</t>
  </si>
  <si>
    <t>Households (20) [kVA]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</si>
</sst>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3" fontId="2" fillId="0" borderId="0" xfId="0" applyNumberFormat="1" applyFont="1"/>
    <xf numFmtId="0" fontId="3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Total 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Sheet1!$A$2:$A$102</c:f>
              <c:numCache>
                <c:formatCode>General</c:formatCode>
                <c:ptCount val="101"/>
                <c:pt idx="0">
                  <c:v>50.5</c:v>
                </c:pt>
                <c:pt idx="1">
                  <c:v>50.5</c:v>
                </c:pt>
                <c:pt idx="2">
                  <c:v>50.5</c:v>
                </c:pt>
                <c:pt idx="3">
                  <c:v>50.5</c:v>
                </c:pt>
                <c:pt idx="4">
                  <c:v>112.5</c:v>
                </c:pt>
                <c:pt idx="5">
                  <c:v>112.5</c:v>
                </c:pt>
                <c:pt idx="6">
                  <c:v>112.5</c:v>
                </c:pt>
                <c:pt idx="7">
                  <c:v>112.5</c:v>
                </c:pt>
                <c:pt idx="8">
                  <c:v>239.25</c:v>
                </c:pt>
                <c:pt idx="9">
                  <c:v>239.25</c:v>
                </c:pt>
                <c:pt idx="10">
                  <c:v>239.25</c:v>
                </c:pt>
                <c:pt idx="11">
                  <c:v>239.25</c:v>
                </c:pt>
                <c:pt idx="12">
                  <c:v>796.5</c:v>
                </c:pt>
                <c:pt idx="13">
                  <c:v>796.5</c:v>
                </c:pt>
                <c:pt idx="14">
                  <c:v>796.5</c:v>
                </c:pt>
                <c:pt idx="15">
                  <c:v>796.5</c:v>
                </c:pt>
                <c:pt idx="16">
                  <c:v>3524</c:v>
                </c:pt>
                <c:pt idx="17">
                  <c:v>3524</c:v>
                </c:pt>
                <c:pt idx="18">
                  <c:v>3524</c:v>
                </c:pt>
                <c:pt idx="19">
                  <c:v>3524</c:v>
                </c:pt>
                <c:pt idx="20">
                  <c:v>12460.25</c:v>
                </c:pt>
                <c:pt idx="21">
                  <c:v>12460.25</c:v>
                </c:pt>
                <c:pt idx="22">
                  <c:v>12460.25</c:v>
                </c:pt>
                <c:pt idx="23">
                  <c:v>12460.25</c:v>
                </c:pt>
                <c:pt idx="24">
                  <c:v>33464.25</c:v>
                </c:pt>
                <c:pt idx="25">
                  <c:v>33464.25</c:v>
                </c:pt>
                <c:pt idx="26">
                  <c:v>33464.25</c:v>
                </c:pt>
                <c:pt idx="27">
                  <c:v>33464.25</c:v>
                </c:pt>
                <c:pt idx="28">
                  <c:v>66297</c:v>
                </c:pt>
                <c:pt idx="29">
                  <c:v>66297</c:v>
                </c:pt>
                <c:pt idx="30">
                  <c:v>66297</c:v>
                </c:pt>
                <c:pt idx="31">
                  <c:v>66297</c:v>
                </c:pt>
                <c:pt idx="32">
                  <c:v>52173</c:v>
                </c:pt>
                <c:pt idx="33">
                  <c:v>52173</c:v>
                </c:pt>
                <c:pt idx="34">
                  <c:v>52173</c:v>
                </c:pt>
                <c:pt idx="35">
                  <c:v>52173</c:v>
                </c:pt>
                <c:pt idx="36">
                  <c:v>17376.5</c:v>
                </c:pt>
                <c:pt idx="37">
                  <c:v>17376.5</c:v>
                </c:pt>
                <c:pt idx="38">
                  <c:v>17376.5</c:v>
                </c:pt>
                <c:pt idx="39">
                  <c:v>17376.5</c:v>
                </c:pt>
                <c:pt idx="40">
                  <c:v>7898</c:v>
                </c:pt>
                <c:pt idx="41">
                  <c:v>7898</c:v>
                </c:pt>
                <c:pt idx="42">
                  <c:v>7898</c:v>
                </c:pt>
                <c:pt idx="43">
                  <c:v>7898</c:v>
                </c:pt>
                <c:pt idx="44">
                  <c:v>5980.25</c:v>
                </c:pt>
                <c:pt idx="45">
                  <c:v>5980.25</c:v>
                </c:pt>
                <c:pt idx="46">
                  <c:v>5980.25</c:v>
                </c:pt>
                <c:pt idx="47">
                  <c:v>5980.25</c:v>
                </c:pt>
                <c:pt idx="48">
                  <c:v>25595</c:v>
                </c:pt>
                <c:pt idx="49">
                  <c:v>25595</c:v>
                </c:pt>
                <c:pt idx="50">
                  <c:v>25595</c:v>
                </c:pt>
                <c:pt idx="51">
                  <c:v>25595</c:v>
                </c:pt>
                <c:pt idx="52">
                  <c:v>26476</c:v>
                </c:pt>
                <c:pt idx="53">
                  <c:v>26476</c:v>
                </c:pt>
                <c:pt idx="54">
                  <c:v>26476</c:v>
                </c:pt>
                <c:pt idx="55">
                  <c:v>26476</c:v>
                </c:pt>
                <c:pt idx="56">
                  <c:v>30789.25</c:v>
                </c:pt>
                <c:pt idx="57">
                  <c:v>30789.25</c:v>
                </c:pt>
                <c:pt idx="58">
                  <c:v>30789.25</c:v>
                </c:pt>
                <c:pt idx="59">
                  <c:v>30789.25</c:v>
                </c:pt>
                <c:pt idx="60">
                  <c:v>44572.75</c:v>
                </c:pt>
                <c:pt idx="61">
                  <c:v>44572.75</c:v>
                </c:pt>
                <c:pt idx="62">
                  <c:v>44572.75</c:v>
                </c:pt>
                <c:pt idx="63">
                  <c:v>44572.75</c:v>
                </c:pt>
                <c:pt idx="64">
                  <c:v>56643</c:v>
                </c:pt>
                <c:pt idx="65">
                  <c:v>56643</c:v>
                </c:pt>
                <c:pt idx="66">
                  <c:v>56643</c:v>
                </c:pt>
                <c:pt idx="67">
                  <c:v>56643</c:v>
                </c:pt>
                <c:pt idx="68">
                  <c:v>49975.25</c:v>
                </c:pt>
                <c:pt idx="69">
                  <c:v>49975.25</c:v>
                </c:pt>
                <c:pt idx="70">
                  <c:v>49975.25</c:v>
                </c:pt>
                <c:pt idx="71">
                  <c:v>49975.25</c:v>
                </c:pt>
                <c:pt idx="72">
                  <c:v>32104</c:v>
                </c:pt>
                <c:pt idx="73">
                  <c:v>32104</c:v>
                </c:pt>
                <c:pt idx="74">
                  <c:v>32104</c:v>
                </c:pt>
                <c:pt idx="75">
                  <c:v>32104</c:v>
                </c:pt>
                <c:pt idx="76">
                  <c:v>22266.75</c:v>
                </c:pt>
                <c:pt idx="77">
                  <c:v>22266.75</c:v>
                </c:pt>
                <c:pt idx="78">
                  <c:v>22266.75</c:v>
                </c:pt>
                <c:pt idx="79">
                  <c:v>22266.75</c:v>
                </c:pt>
                <c:pt idx="80">
                  <c:v>16930.5</c:v>
                </c:pt>
                <c:pt idx="81">
                  <c:v>16930.5</c:v>
                </c:pt>
                <c:pt idx="82">
                  <c:v>16930.5</c:v>
                </c:pt>
                <c:pt idx="83">
                  <c:v>16930.5</c:v>
                </c:pt>
                <c:pt idx="84">
                  <c:v>13005.25</c:v>
                </c:pt>
                <c:pt idx="85">
                  <c:v>13005.25</c:v>
                </c:pt>
                <c:pt idx="86">
                  <c:v>13005.25</c:v>
                </c:pt>
                <c:pt idx="87">
                  <c:v>13005.25</c:v>
                </c:pt>
                <c:pt idx="88">
                  <c:v>8475</c:v>
                </c:pt>
                <c:pt idx="89">
                  <c:v>8475</c:v>
                </c:pt>
                <c:pt idx="90">
                  <c:v>8475</c:v>
                </c:pt>
                <c:pt idx="91">
                  <c:v>8475</c:v>
                </c:pt>
                <c:pt idx="92">
                  <c:v>4897</c:v>
                </c:pt>
                <c:pt idx="93">
                  <c:v>4897</c:v>
                </c:pt>
                <c:pt idx="94">
                  <c:v>4897</c:v>
                </c:pt>
                <c:pt idx="95">
                  <c:v>4897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31-3643-B601-2A82B82E6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0397472"/>
        <c:axId val="1730399184"/>
      </c:lineChart>
      <c:catAx>
        <c:axId val="173039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30399184"/>
        <c:crosses val="autoZero"/>
        <c:auto val="1"/>
        <c:lblAlgn val="ctr"/>
        <c:lblOffset val="100"/>
        <c:noMultiLvlLbl val="0"/>
      </c:catAx>
      <c:valAx>
        <c:axId val="173039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30397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177800</xdr:colOff>
      <xdr:row>20</xdr:row>
      <xdr:rowOff>88900</xdr:rowOff>
    </xdr:from>
    <xdr:to>
      <xdr:col>21</xdr:col>
      <xdr:colOff>368300</xdr:colOff>
      <xdr:row>37</xdr:row>
      <xdr:rowOff>25400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57C2C3A-81E6-3CBA-7455-B816A3ABE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"/>
  <sheetViews>
    <sheetView tabSelected="1" zoomScale="174" workbookViewId="0">
      <selection activeCell="C103" sqref="C103"/>
    </sheetView>
  </sheetViews>
  <sheetFormatPr baseColWidth="10" defaultColWidth="8.83203125" defaultRowHeight="15" x14ac:dyDescent="0.2"/>
  <cols>
    <col min="2" max="2" width="11.33203125" customWidth="1"/>
    <col min="3" max="3" width="11.5" customWidth="1"/>
    <col min="4" max="4" width="12.1640625" customWidth="1"/>
  </cols>
  <sheetData>
    <row r="1" spans="1:6" x14ac:dyDescent="0.2">
      <c r="A1" s="1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</row>
    <row r="2" spans="1:6" ht="16" x14ac:dyDescent="0.2">
      <c r="A2" s="4">
        <v>50.5</v>
      </c>
      <c r="B2">
        <f>ROUND(A2*0.01,0)</f>
        <v>1</v>
      </c>
      <c r="C2">
        <f>ROUND(A2*0.05,0)</f>
        <v>3</v>
      </c>
      <c r="D2">
        <f>ROUND(A2*0.1,0)</f>
        <v>5</v>
      </c>
      <c r="E2">
        <f>0*$F$2</f>
        <v>0</v>
      </c>
      <c r="F2">
        <f>5*20</f>
        <v>100</v>
      </c>
    </row>
    <row r="3" spans="1:6" ht="16" x14ac:dyDescent="0.2">
      <c r="A3" s="4">
        <v>50.5</v>
      </c>
      <c r="B3">
        <f t="shared" ref="B3:B66" si="0">ROUND(A3*0.01,0)</f>
        <v>1</v>
      </c>
      <c r="C3">
        <f t="shared" ref="C3:C66" si="1">ROUND(A3*0.05,0)</f>
        <v>3</v>
      </c>
      <c r="D3">
        <f t="shared" ref="D3:D66" si="2">ROUND(A3*0.1,0)</f>
        <v>5</v>
      </c>
      <c r="E3">
        <f>0*$F$2</f>
        <v>0</v>
      </c>
    </row>
    <row r="4" spans="1:6" ht="16" x14ac:dyDescent="0.2">
      <c r="A4" s="4">
        <v>50.5</v>
      </c>
      <c r="B4">
        <f t="shared" si="0"/>
        <v>1</v>
      </c>
      <c r="C4">
        <f t="shared" si="1"/>
        <v>3</v>
      </c>
      <c r="D4">
        <f t="shared" si="2"/>
        <v>5</v>
      </c>
      <c r="E4">
        <f>0*$F$2</f>
        <v>0</v>
      </c>
    </row>
    <row r="5" spans="1:6" ht="16" x14ac:dyDescent="0.2">
      <c r="A5" s="4">
        <v>50.5</v>
      </c>
      <c r="B5">
        <f t="shared" si="0"/>
        <v>1</v>
      </c>
      <c r="C5">
        <f t="shared" si="1"/>
        <v>3</v>
      </c>
      <c r="D5">
        <f t="shared" si="2"/>
        <v>5</v>
      </c>
      <c r="E5">
        <f>5*$F$2</f>
        <v>500</v>
      </c>
    </row>
    <row r="6" spans="1:6" ht="16" x14ac:dyDescent="0.2">
      <c r="A6" s="4">
        <v>112.5</v>
      </c>
      <c r="B6">
        <f t="shared" si="0"/>
        <v>1</v>
      </c>
      <c r="C6">
        <f t="shared" si="1"/>
        <v>6</v>
      </c>
      <c r="D6">
        <f t="shared" si="2"/>
        <v>11</v>
      </c>
      <c r="E6">
        <f>5*$F$2</f>
        <v>500</v>
      </c>
    </row>
    <row r="7" spans="1:6" ht="16" x14ac:dyDescent="0.2">
      <c r="A7" s="4">
        <v>112.5</v>
      </c>
      <c r="B7">
        <f t="shared" si="0"/>
        <v>1</v>
      </c>
      <c r="C7">
        <f t="shared" si="1"/>
        <v>6</v>
      </c>
      <c r="D7">
        <f t="shared" si="2"/>
        <v>11</v>
      </c>
      <c r="E7">
        <f>6*$F$2</f>
        <v>600</v>
      </c>
    </row>
    <row r="8" spans="1:6" ht="16" x14ac:dyDescent="0.2">
      <c r="A8" s="4">
        <v>112.5</v>
      </c>
      <c r="B8">
        <f t="shared" si="0"/>
        <v>1</v>
      </c>
      <c r="C8">
        <f t="shared" si="1"/>
        <v>6</v>
      </c>
      <c r="D8">
        <f t="shared" si="2"/>
        <v>11</v>
      </c>
      <c r="E8">
        <f>6*$F$2</f>
        <v>600</v>
      </c>
    </row>
    <row r="9" spans="1:6" ht="16" x14ac:dyDescent="0.2">
      <c r="A9" s="4">
        <v>112.5</v>
      </c>
      <c r="B9">
        <f t="shared" si="0"/>
        <v>1</v>
      </c>
      <c r="C9">
        <f t="shared" si="1"/>
        <v>6</v>
      </c>
      <c r="D9">
        <f t="shared" si="2"/>
        <v>11</v>
      </c>
      <c r="E9">
        <f>10*$F$2</f>
        <v>1000</v>
      </c>
    </row>
    <row r="10" spans="1:6" ht="16" x14ac:dyDescent="0.2">
      <c r="A10" s="4">
        <v>239.25</v>
      </c>
      <c r="B10">
        <f t="shared" si="0"/>
        <v>2</v>
      </c>
      <c r="C10">
        <f t="shared" si="1"/>
        <v>12</v>
      </c>
      <c r="D10">
        <f t="shared" si="2"/>
        <v>24</v>
      </c>
      <c r="E10">
        <f t="shared" ref="E10:E12" si="3">10*$F$2</f>
        <v>1000</v>
      </c>
    </row>
    <row r="11" spans="1:6" ht="16" x14ac:dyDescent="0.2">
      <c r="A11" s="4">
        <v>239.25</v>
      </c>
      <c r="B11">
        <f t="shared" si="0"/>
        <v>2</v>
      </c>
      <c r="C11">
        <f t="shared" si="1"/>
        <v>12</v>
      </c>
      <c r="D11">
        <f t="shared" si="2"/>
        <v>24</v>
      </c>
      <c r="E11">
        <f t="shared" si="3"/>
        <v>1000</v>
      </c>
    </row>
    <row r="12" spans="1:6" ht="16" x14ac:dyDescent="0.2">
      <c r="A12" s="4">
        <v>239.25</v>
      </c>
      <c r="B12">
        <f t="shared" si="0"/>
        <v>2</v>
      </c>
      <c r="C12">
        <f t="shared" si="1"/>
        <v>12</v>
      </c>
      <c r="D12">
        <f t="shared" si="2"/>
        <v>24</v>
      </c>
      <c r="E12">
        <f t="shared" si="3"/>
        <v>1000</v>
      </c>
    </row>
    <row r="13" spans="1:6" ht="16" x14ac:dyDescent="0.2">
      <c r="A13" s="4">
        <v>239.25</v>
      </c>
      <c r="B13">
        <f t="shared" si="0"/>
        <v>2</v>
      </c>
      <c r="C13">
        <f t="shared" si="1"/>
        <v>12</v>
      </c>
      <c r="D13">
        <f t="shared" si="2"/>
        <v>24</v>
      </c>
      <c r="E13">
        <f>2*$F$2</f>
        <v>200</v>
      </c>
    </row>
    <row r="14" spans="1:6" ht="16" x14ac:dyDescent="0.2">
      <c r="A14" s="4">
        <v>796.5</v>
      </c>
      <c r="B14">
        <f t="shared" si="0"/>
        <v>8</v>
      </c>
      <c r="C14">
        <f t="shared" si="1"/>
        <v>40</v>
      </c>
      <c r="D14">
        <f t="shared" si="2"/>
        <v>80</v>
      </c>
      <c r="E14">
        <f>1*$F$2</f>
        <v>100</v>
      </c>
    </row>
    <row r="15" spans="1:6" ht="16" x14ac:dyDescent="0.2">
      <c r="A15" s="4">
        <v>796.5</v>
      </c>
      <c r="B15">
        <f t="shared" si="0"/>
        <v>8</v>
      </c>
      <c r="C15">
        <f t="shared" si="1"/>
        <v>40</v>
      </c>
      <c r="D15">
        <f t="shared" si="2"/>
        <v>80</v>
      </c>
      <c r="E15">
        <f t="shared" ref="E15:E21" si="4">0*$F$2</f>
        <v>0</v>
      </c>
    </row>
    <row r="16" spans="1:6" ht="16" x14ac:dyDescent="0.2">
      <c r="A16" s="4">
        <v>796.5</v>
      </c>
      <c r="B16">
        <f t="shared" si="0"/>
        <v>8</v>
      </c>
      <c r="C16">
        <f t="shared" si="1"/>
        <v>40</v>
      </c>
      <c r="D16">
        <f t="shared" si="2"/>
        <v>80</v>
      </c>
      <c r="E16">
        <f t="shared" si="4"/>
        <v>0</v>
      </c>
    </row>
    <row r="17" spans="1:5" ht="16" x14ac:dyDescent="0.2">
      <c r="A17" s="4">
        <v>796.5</v>
      </c>
      <c r="B17">
        <f t="shared" si="0"/>
        <v>8</v>
      </c>
      <c r="C17">
        <f t="shared" si="1"/>
        <v>40</v>
      </c>
      <c r="D17">
        <f t="shared" si="2"/>
        <v>80</v>
      </c>
      <c r="E17">
        <f t="shared" si="4"/>
        <v>0</v>
      </c>
    </row>
    <row r="18" spans="1:5" ht="16" x14ac:dyDescent="0.2">
      <c r="A18" s="4">
        <v>3524</v>
      </c>
      <c r="B18">
        <f t="shared" si="0"/>
        <v>35</v>
      </c>
      <c r="C18">
        <f t="shared" si="1"/>
        <v>176</v>
      </c>
      <c r="D18">
        <f t="shared" si="2"/>
        <v>352</v>
      </c>
      <c r="E18">
        <f t="shared" si="4"/>
        <v>0</v>
      </c>
    </row>
    <row r="19" spans="1:5" ht="16" x14ac:dyDescent="0.2">
      <c r="A19" s="4">
        <v>3524</v>
      </c>
      <c r="B19">
        <f t="shared" si="0"/>
        <v>35</v>
      </c>
      <c r="C19">
        <f t="shared" si="1"/>
        <v>176</v>
      </c>
      <c r="D19">
        <f t="shared" si="2"/>
        <v>352</v>
      </c>
      <c r="E19">
        <f t="shared" si="4"/>
        <v>0</v>
      </c>
    </row>
    <row r="20" spans="1:5" ht="16" x14ac:dyDescent="0.2">
      <c r="A20" s="4">
        <v>3524</v>
      </c>
      <c r="B20">
        <f t="shared" si="0"/>
        <v>35</v>
      </c>
      <c r="C20">
        <f t="shared" si="1"/>
        <v>176</v>
      </c>
      <c r="D20">
        <f t="shared" si="2"/>
        <v>352</v>
      </c>
      <c r="E20">
        <f t="shared" si="4"/>
        <v>0</v>
      </c>
    </row>
    <row r="21" spans="1:5" ht="16" x14ac:dyDescent="0.2">
      <c r="A21" s="4">
        <v>3524</v>
      </c>
      <c r="B21">
        <f t="shared" si="0"/>
        <v>35</v>
      </c>
      <c r="C21">
        <f t="shared" si="1"/>
        <v>176</v>
      </c>
      <c r="D21">
        <f t="shared" si="2"/>
        <v>352</v>
      </c>
      <c r="E21">
        <f t="shared" si="4"/>
        <v>0</v>
      </c>
    </row>
    <row r="22" spans="1:5" ht="16" x14ac:dyDescent="0.2">
      <c r="A22" s="4">
        <v>12460.25</v>
      </c>
      <c r="B22">
        <f t="shared" si="0"/>
        <v>125</v>
      </c>
      <c r="C22">
        <f t="shared" si="1"/>
        <v>623</v>
      </c>
      <c r="D22">
        <f t="shared" si="2"/>
        <v>1246</v>
      </c>
      <c r="E22">
        <f>10*$F$2</f>
        <v>1000</v>
      </c>
    </row>
    <row r="23" spans="1:5" ht="16" x14ac:dyDescent="0.2">
      <c r="A23" s="4">
        <v>12460.25</v>
      </c>
      <c r="B23">
        <f t="shared" si="0"/>
        <v>125</v>
      </c>
      <c r="C23">
        <f t="shared" si="1"/>
        <v>623</v>
      </c>
      <c r="D23">
        <f t="shared" si="2"/>
        <v>1246</v>
      </c>
      <c r="E23">
        <f t="shared" ref="E23:E25" si="5">10*$F$2</f>
        <v>1000</v>
      </c>
    </row>
    <row r="24" spans="1:5" ht="16" x14ac:dyDescent="0.2">
      <c r="A24" s="4">
        <v>12460.25</v>
      </c>
      <c r="B24">
        <f t="shared" si="0"/>
        <v>125</v>
      </c>
      <c r="C24">
        <f t="shared" si="1"/>
        <v>623</v>
      </c>
      <c r="D24">
        <f t="shared" si="2"/>
        <v>1246</v>
      </c>
      <c r="E24">
        <f t="shared" si="5"/>
        <v>1000</v>
      </c>
    </row>
    <row r="25" spans="1:5" ht="16" x14ac:dyDescent="0.2">
      <c r="A25" s="4">
        <v>12460.25</v>
      </c>
      <c r="B25">
        <f t="shared" si="0"/>
        <v>125</v>
      </c>
      <c r="C25">
        <f t="shared" si="1"/>
        <v>623</v>
      </c>
      <c r="D25">
        <f t="shared" si="2"/>
        <v>1246</v>
      </c>
      <c r="E25">
        <f t="shared" si="5"/>
        <v>1000</v>
      </c>
    </row>
    <row r="26" spans="1:5" ht="16" x14ac:dyDescent="0.2">
      <c r="A26" s="4">
        <v>33464.25</v>
      </c>
      <c r="B26">
        <f t="shared" si="0"/>
        <v>335</v>
      </c>
      <c r="C26">
        <f t="shared" si="1"/>
        <v>1673</v>
      </c>
      <c r="D26">
        <f t="shared" si="2"/>
        <v>3346</v>
      </c>
      <c r="E26">
        <f>15*$F$2</f>
        <v>1500</v>
      </c>
    </row>
    <row r="27" spans="1:5" ht="16" x14ac:dyDescent="0.2">
      <c r="A27" s="4">
        <v>33464.25</v>
      </c>
      <c r="B27">
        <f t="shared" si="0"/>
        <v>335</v>
      </c>
      <c r="C27">
        <f t="shared" si="1"/>
        <v>1673</v>
      </c>
      <c r="D27">
        <f t="shared" si="2"/>
        <v>3346</v>
      </c>
      <c r="E27">
        <f t="shared" ref="E27:E30" si="6">15*$F$2</f>
        <v>1500</v>
      </c>
    </row>
    <row r="28" spans="1:5" ht="16" x14ac:dyDescent="0.2">
      <c r="A28" s="4">
        <v>33464.25</v>
      </c>
      <c r="B28">
        <f t="shared" si="0"/>
        <v>335</v>
      </c>
      <c r="C28">
        <f t="shared" si="1"/>
        <v>1673</v>
      </c>
      <c r="D28">
        <f t="shared" si="2"/>
        <v>3346</v>
      </c>
      <c r="E28">
        <f t="shared" si="6"/>
        <v>1500</v>
      </c>
    </row>
    <row r="29" spans="1:5" ht="16" x14ac:dyDescent="0.2">
      <c r="A29" s="4">
        <v>33464.25</v>
      </c>
      <c r="B29">
        <f t="shared" si="0"/>
        <v>335</v>
      </c>
      <c r="C29">
        <f t="shared" si="1"/>
        <v>1673</v>
      </c>
      <c r="D29">
        <f t="shared" si="2"/>
        <v>3346</v>
      </c>
      <c r="E29">
        <f t="shared" si="6"/>
        <v>1500</v>
      </c>
    </row>
    <row r="30" spans="1:5" ht="16" x14ac:dyDescent="0.2">
      <c r="A30" s="4">
        <v>66297</v>
      </c>
      <c r="B30">
        <f t="shared" si="0"/>
        <v>663</v>
      </c>
      <c r="C30">
        <f t="shared" si="1"/>
        <v>3315</v>
      </c>
      <c r="D30">
        <f t="shared" si="2"/>
        <v>6630</v>
      </c>
      <c r="E30">
        <f t="shared" si="6"/>
        <v>1500</v>
      </c>
    </row>
    <row r="31" spans="1:5" ht="16" x14ac:dyDescent="0.2">
      <c r="A31" s="4">
        <v>66297</v>
      </c>
      <c r="B31">
        <f t="shared" si="0"/>
        <v>663</v>
      </c>
      <c r="C31">
        <f t="shared" si="1"/>
        <v>3315</v>
      </c>
      <c r="D31">
        <f t="shared" si="2"/>
        <v>6630</v>
      </c>
      <c r="E31">
        <f t="shared" ref="E31:E48" si="7">0*$F$2</f>
        <v>0</v>
      </c>
    </row>
    <row r="32" spans="1:5" ht="16" x14ac:dyDescent="0.2">
      <c r="A32" s="4">
        <v>66297</v>
      </c>
      <c r="B32">
        <f t="shared" si="0"/>
        <v>663</v>
      </c>
      <c r="C32">
        <f t="shared" si="1"/>
        <v>3315</v>
      </c>
      <c r="D32">
        <f t="shared" si="2"/>
        <v>6630</v>
      </c>
      <c r="E32">
        <f t="shared" si="7"/>
        <v>0</v>
      </c>
    </row>
    <row r="33" spans="1:5" ht="16" x14ac:dyDescent="0.2">
      <c r="A33" s="4">
        <v>66297</v>
      </c>
      <c r="B33">
        <f t="shared" si="0"/>
        <v>663</v>
      </c>
      <c r="C33">
        <f t="shared" si="1"/>
        <v>3315</v>
      </c>
      <c r="D33">
        <f t="shared" si="2"/>
        <v>6630</v>
      </c>
      <c r="E33">
        <f t="shared" si="7"/>
        <v>0</v>
      </c>
    </row>
    <row r="34" spans="1:5" ht="16" x14ac:dyDescent="0.2">
      <c r="A34" s="4">
        <v>52173</v>
      </c>
      <c r="B34">
        <f t="shared" si="0"/>
        <v>522</v>
      </c>
      <c r="C34">
        <f t="shared" si="1"/>
        <v>2609</v>
      </c>
      <c r="D34">
        <f t="shared" si="2"/>
        <v>5217</v>
      </c>
      <c r="E34">
        <f t="shared" si="7"/>
        <v>0</v>
      </c>
    </row>
    <row r="35" spans="1:5" ht="16" x14ac:dyDescent="0.2">
      <c r="A35" s="4">
        <v>52173</v>
      </c>
      <c r="B35">
        <f t="shared" si="0"/>
        <v>522</v>
      </c>
      <c r="C35">
        <f t="shared" si="1"/>
        <v>2609</v>
      </c>
      <c r="D35">
        <f t="shared" si="2"/>
        <v>5217</v>
      </c>
      <c r="E35">
        <f t="shared" si="7"/>
        <v>0</v>
      </c>
    </row>
    <row r="36" spans="1:5" ht="16" x14ac:dyDescent="0.2">
      <c r="A36" s="4">
        <v>52173</v>
      </c>
      <c r="B36">
        <f t="shared" si="0"/>
        <v>522</v>
      </c>
      <c r="C36">
        <f t="shared" si="1"/>
        <v>2609</v>
      </c>
      <c r="D36">
        <f t="shared" si="2"/>
        <v>5217</v>
      </c>
      <c r="E36">
        <f t="shared" si="7"/>
        <v>0</v>
      </c>
    </row>
    <row r="37" spans="1:5" ht="16" x14ac:dyDescent="0.2">
      <c r="A37" s="4">
        <v>52173</v>
      </c>
      <c r="B37">
        <f t="shared" si="0"/>
        <v>522</v>
      </c>
      <c r="C37">
        <f t="shared" si="1"/>
        <v>2609</v>
      </c>
      <c r="D37">
        <f t="shared" si="2"/>
        <v>5217</v>
      </c>
      <c r="E37">
        <f t="shared" si="7"/>
        <v>0</v>
      </c>
    </row>
    <row r="38" spans="1:5" ht="16" x14ac:dyDescent="0.2">
      <c r="A38" s="4">
        <v>17376.5</v>
      </c>
      <c r="B38">
        <f t="shared" si="0"/>
        <v>174</v>
      </c>
      <c r="C38">
        <f t="shared" si="1"/>
        <v>869</v>
      </c>
      <c r="D38">
        <f t="shared" si="2"/>
        <v>1738</v>
      </c>
      <c r="E38">
        <f t="shared" si="7"/>
        <v>0</v>
      </c>
    </row>
    <row r="39" spans="1:5" ht="16" x14ac:dyDescent="0.2">
      <c r="A39" s="4">
        <v>17376.5</v>
      </c>
      <c r="B39">
        <f t="shared" si="0"/>
        <v>174</v>
      </c>
      <c r="C39">
        <f t="shared" si="1"/>
        <v>869</v>
      </c>
      <c r="D39">
        <f t="shared" si="2"/>
        <v>1738</v>
      </c>
      <c r="E39">
        <f t="shared" si="7"/>
        <v>0</v>
      </c>
    </row>
    <row r="40" spans="1:5" ht="16" x14ac:dyDescent="0.2">
      <c r="A40" s="4">
        <v>17376.5</v>
      </c>
      <c r="B40">
        <f t="shared" si="0"/>
        <v>174</v>
      </c>
      <c r="C40">
        <f t="shared" si="1"/>
        <v>869</v>
      </c>
      <c r="D40">
        <f t="shared" si="2"/>
        <v>1738</v>
      </c>
      <c r="E40">
        <f t="shared" si="7"/>
        <v>0</v>
      </c>
    </row>
    <row r="41" spans="1:5" ht="16" x14ac:dyDescent="0.2">
      <c r="A41" s="4">
        <v>17376.5</v>
      </c>
      <c r="B41">
        <f t="shared" si="0"/>
        <v>174</v>
      </c>
      <c r="C41">
        <f t="shared" si="1"/>
        <v>869</v>
      </c>
      <c r="D41">
        <f t="shared" si="2"/>
        <v>1738</v>
      </c>
      <c r="E41">
        <f t="shared" si="7"/>
        <v>0</v>
      </c>
    </row>
    <row r="42" spans="1:5" ht="16" x14ac:dyDescent="0.2">
      <c r="A42" s="4">
        <v>7898</v>
      </c>
      <c r="B42">
        <f t="shared" si="0"/>
        <v>79</v>
      </c>
      <c r="C42">
        <f t="shared" si="1"/>
        <v>395</v>
      </c>
      <c r="D42">
        <f t="shared" si="2"/>
        <v>790</v>
      </c>
      <c r="E42">
        <f t="shared" si="7"/>
        <v>0</v>
      </c>
    </row>
    <row r="43" spans="1:5" ht="16" x14ac:dyDescent="0.2">
      <c r="A43" s="4">
        <v>7898</v>
      </c>
      <c r="B43">
        <f t="shared" si="0"/>
        <v>79</v>
      </c>
      <c r="C43">
        <f t="shared" si="1"/>
        <v>395</v>
      </c>
      <c r="D43">
        <f t="shared" si="2"/>
        <v>790</v>
      </c>
      <c r="E43">
        <f t="shared" si="7"/>
        <v>0</v>
      </c>
    </row>
    <row r="44" spans="1:5" ht="16" x14ac:dyDescent="0.2">
      <c r="A44" s="4">
        <v>7898</v>
      </c>
      <c r="B44">
        <f t="shared" si="0"/>
        <v>79</v>
      </c>
      <c r="C44">
        <f t="shared" si="1"/>
        <v>395</v>
      </c>
      <c r="D44">
        <f t="shared" si="2"/>
        <v>790</v>
      </c>
      <c r="E44">
        <f t="shared" si="7"/>
        <v>0</v>
      </c>
    </row>
    <row r="45" spans="1:5" ht="16" x14ac:dyDescent="0.2">
      <c r="A45" s="4">
        <v>7898</v>
      </c>
      <c r="B45">
        <f t="shared" si="0"/>
        <v>79</v>
      </c>
      <c r="C45">
        <f t="shared" si="1"/>
        <v>395</v>
      </c>
      <c r="D45">
        <f t="shared" si="2"/>
        <v>790</v>
      </c>
      <c r="E45">
        <f t="shared" si="7"/>
        <v>0</v>
      </c>
    </row>
    <row r="46" spans="1:5" ht="16" x14ac:dyDescent="0.2">
      <c r="A46" s="4">
        <v>5980.25</v>
      </c>
      <c r="B46">
        <f t="shared" si="0"/>
        <v>60</v>
      </c>
      <c r="C46">
        <f t="shared" si="1"/>
        <v>299</v>
      </c>
      <c r="D46">
        <f t="shared" si="2"/>
        <v>598</v>
      </c>
      <c r="E46">
        <f t="shared" si="7"/>
        <v>0</v>
      </c>
    </row>
    <row r="47" spans="1:5" ht="16" x14ac:dyDescent="0.2">
      <c r="A47" s="4">
        <v>5980.25</v>
      </c>
      <c r="B47">
        <f t="shared" si="0"/>
        <v>60</v>
      </c>
      <c r="C47">
        <f t="shared" si="1"/>
        <v>299</v>
      </c>
      <c r="D47">
        <f t="shared" si="2"/>
        <v>598</v>
      </c>
      <c r="E47">
        <f t="shared" si="7"/>
        <v>0</v>
      </c>
    </row>
    <row r="48" spans="1:5" ht="16" x14ac:dyDescent="0.2">
      <c r="A48" s="4">
        <v>5980.25</v>
      </c>
      <c r="B48">
        <f t="shared" si="0"/>
        <v>60</v>
      </c>
      <c r="C48">
        <f t="shared" si="1"/>
        <v>299</v>
      </c>
      <c r="D48">
        <f t="shared" si="2"/>
        <v>598</v>
      </c>
      <c r="E48">
        <f t="shared" si="7"/>
        <v>0</v>
      </c>
    </row>
    <row r="49" spans="1:5" ht="16" x14ac:dyDescent="0.2">
      <c r="A49" s="4">
        <v>5980.25</v>
      </c>
      <c r="B49">
        <f t="shared" si="0"/>
        <v>60</v>
      </c>
      <c r="C49">
        <f t="shared" si="1"/>
        <v>299</v>
      </c>
      <c r="D49">
        <f t="shared" si="2"/>
        <v>598</v>
      </c>
      <c r="E49">
        <f>2*$F$2</f>
        <v>200</v>
      </c>
    </row>
    <row r="50" spans="1:5" ht="16" x14ac:dyDescent="0.2">
      <c r="A50" s="4">
        <v>25595</v>
      </c>
      <c r="B50">
        <f t="shared" si="0"/>
        <v>256</v>
      </c>
      <c r="C50">
        <f t="shared" si="1"/>
        <v>1280</v>
      </c>
      <c r="D50">
        <f t="shared" si="2"/>
        <v>2560</v>
      </c>
      <c r="E50">
        <f t="shared" ref="E50:E51" si="8">2*$F$2</f>
        <v>200</v>
      </c>
    </row>
    <row r="51" spans="1:5" ht="16" x14ac:dyDescent="0.2">
      <c r="A51" s="4">
        <v>25595</v>
      </c>
      <c r="B51">
        <f t="shared" si="0"/>
        <v>256</v>
      </c>
      <c r="C51">
        <f t="shared" si="1"/>
        <v>1280</v>
      </c>
      <c r="D51">
        <f t="shared" si="2"/>
        <v>2560</v>
      </c>
      <c r="E51">
        <f t="shared" si="8"/>
        <v>200</v>
      </c>
    </row>
    <row r="52" spans="1:5" ht="16" x14ac:dyDescent="0.2">
      <c r="A52" s="4">
        <v>25595</v>
      </c>
      <c r="B52">
        <f t="shared" si="0"/>
        <v>256</v>
      </c>
      <c r="C52">
        <f t="shared" si="1"/>
        <v>1280</v>
      </c>
      <c r="D52">
        <f t="shared" si="2"/>
        <v>2560</v>
      </c>
      <c r="E52">
        <f>10*$F$2</f>
        <v>1000</v>
      </c>
    </row>
    <row r="53" spans="1:5" ht="16" x14ac:dyDescent="0.2">
      <c r="A53" s="4">
        <v>25595</v>
      </c>
      <c r="B53">
        <f t="shared" si="0"/>
        <v>256</v>
      </c>
      <c r="C53">
        <f t="shared" si="1"/>
        <v>1280</v>
      </c>
      <c r="D53">
        <f t="shared" si="2"/>
        <v>2560</v>
      </c>
      <c r="E53">
        <f t="shared" ref="E53:E55" si="9">10*$F$2</f>
        <v>1000</v>
      </c>
    </row>
    <row r="54" spans="1:5" ht="16" x14ac:dyDescent="0.2">
      <c r="A54" s="4">
        <v>26476</v>
      </c>
      <c r="B54">
        <f t="shared" si="0"/>
        <v>265</v>
      </c>
      <c r="C54">
        <f t="shared" si="1"/>
        <v>1324</v>
      </c>
      <c r="D54">
        <f t="shared" si="2"/>
        <v>2648</v>
      </c>
      <c r="E54">
        <f t="shared" si="9"/>
        <v>1000</v>
      </c>
    </row>
    <row r="55" spans="1:5" ht="16" x14ac:dyDescent="0.2">
      <c r="A55" s="4">
        <v>26476</v>
      </c>
      <c r="B55">
        <f t="shared" si="0"/>
        <v>265</v>
      </c>
      <c r="C55">
        <f t="shared" si="1"/>
        <v>1324</v>
      </c>
      <c r="D55">
        <f t="shared" si="2"/>
        <v>2648</v>
      </c>
      <c r="E55">
        <f t="shared" si="9"/>
        <v>1000</v>
      </c>
    </row>
    <row r="56" spans="1:5" ht="16" x14ac:dyDescent="0.2">
      <c r="A56" s="4">
        <v>26476</v>
      </c>
      <c r="B56">
        <f t="shared" si="0"/>
        <v>265</v>
      </c>
      <c r="C56">
        <f t="shared" si="1"/>
        <v>1324</v>
      </c>
      <c r="D56">
        <f t="shared" si="2"/>
        <v>2648</v>
      </c>
      <c r="E56">
        <f>15*$F$2</f>
        <v>1500</v>
      </c>
    </row>
    <row r="57" spans="1:5" ht="16" x14ac:dyDescent="0.2">
      <c r="A57" s="4">
        <v>26476</v>
      </c>
      <c r="B57">
        <f t="shared" si="0"/>
        <v>265</v>
      </c>
      <c r="C57">
        <f t="shared" si="1"/>
        <v>1324</v>
      </c>
      <c r="D57">
        <f t="shared" si="2"/>
        <v>2648</v>
      </c>
      <c r="E57">
        <f t="shared" ref="E57:E60" si="10">15*$F$2</f>
        <v>1500</v>
      </c>
    </row>
    <row r="58" spans="1:5" ht="16" x14ac:dyDescent="0.2">
      <c r="A58" s="4">
        <v>30789.25</v>
      </c>
      <c r="B58">
        <f t="shared" si="0"/>
        <v>308</v>
      </c>
      <c r="C58">
        <f t="shared" si="1"/>
        <v>1539</v>
      </c>
      <c r="D58">
        <f t="shared" si="2"/>
        <v>3079</v>
      </c>
      <c r="E58">
        <f t="shared" si="10"/>
        <v>1500</v>
      </c>
    </row>
    <row r="59" spans="1:5" ht="16" x14ac:dyDescent="0.2">
      <c r="A59" s="4">
        <v>30789.25</v>
      </c>
      <c r="B59">
        <f t="shared" si="0"/>
        <v>308</v>
      </c>
      <c r="C59">
        <f t="shared" si="1"/>
        <v>1539</v>
      </c>
      <c r="D59">
        <f t="shared" si="2"/>
        <v>3079</v>
      </c>
      <c r="E59">
        <f t="shared" si="10"/>
        <v>1500</v>
      </c>
    </row>
    <row r="60" spans="1:5" ht="16" x14ac:dyDescent="0.2">
      <c r="A60" s="4">
        <v>30789.25</v>
      </c>
      <c r="B60">
        <f t="shared" si="0"/>
        <v>308</v>
      </c>
      <c r="C60">
        <f t="shared" si="1"/>
        <v>1539</v>
      </c>
      <c r="D60">
        <f t="shared" si="2"/>
        <v>3079</v>
      </c>
      <c r="E60">
        <f t="shared" si="10"/>
        <v>1500</v>
      </c>
    </row>
    <row r="61" spans="1:5" ht="16" x14ac:dyDescent="0.2">
      <c r="A61" s="4">
        <v>30789.25</v>
      </c>
      <c r="B61">
        <f t="shared" si="0"/>
        <v>308</v>
      </c>
      <c r="C61">
        <f t="shared" si="1"/>
        <v>1539</v>
      </c>
      <c r="D61">
        <f t="shared" si="2"/>
        <v>3079</v>
      </c>
      <c r="E61">
        <f>2*$F$2</f>
        <v>200</v>
      </c>
    </row>
    <row r="62" spans="1:5" ht="16" x14ac:dyDescent="0.2">
      <c r="A62" s="4">
        <v>44572.75</v>
      </c>
      <c r="B62">
        <f t="shared" si="0"/>
        <v>446</v>
      </c>
      <c r="C62">
        <f t="shared" si="1"/>
        <v>2229</v>
      </c>
      <c r="D62">
        <f t="shared" si="2"/>
        <v>4457</v>
      </c>
      <c r="E62">
        <f>1*$F$2</f>
        <v>100</v>
      </c>
    </row>
    <row r="63" spans="1:5" ht="16" x14ac:dyDescent="0.2">
      <c r="A63" s="4">
        <v>44572.75</v>
      </c>
      <c r="B63">
        <f t="shared" si="0"/>
        <v>446</v>
      </c>
      <c r="C63">
        <f t="shared" si="1"/>
        <v>2229</v>
      </c>
      <c r="D63">
        <f t="shared" si="2"/>
        <v>4457</v>
      </c>
      <c r="E63">
        <f t="shared" ref="E63:E71" si="11">0*$F$2</f>
        <v>0</v>
      </c>
    </row>
    <row r="64" spans="1:5" ht="16" x14ac:dyDescent="0.2">
      <c r="A64" s="4">
        <v>44572.75</v>
      </c>
      <c r="B64">
        <f t="shared" si="0"/>
        <v>446</v>
      </c>
      <c r="C64">
        <f t="shared" si="1"/>
        <v>2229</v>
      </c>
      <c r="D64">
        <f t="shared" si="2"/>
        <v>4457</v>
      </c>
      <c r="E64">
        <f t="shared" si="11"/>
        <v>0</v>
      </c>
    </row>
    <row r="65" spans="1:5" ht="16" x14ac:dyDescent="0.2">
      <c r="A65" s="4">
        <v>44572.75</v>
      </c>
      <c r="B65">
        <f t="shared" si="0"/>
        <v>446</v>
      </c>
      <c r="C65">
        <f t="shared" si="1"/>
        <v>2229</v>
      </c>
      <c r="D65">
        <f t="shared" si="2"/>
        <v>4457</v>
      </c>
      <c r="E65">
        <f t="shared" si="11"/>
        <v>0</v>
      </c>
    </row>
    <row r="66" spans="1:5" ht="16" x14ac:dyDescent="0.2">
      <c r="A66" s="4">
        <v>56643</v>
      </c>
      <c r="B66">
        <f t="shared" si="0"/>
        <v>566</v>
      </c>
      <c r="C66">
        <f t="shared" si="1"/>
        <v>2832</v>
      </c>
      <c r="D66">
        <f t="shared" si="2"/>
        <v>5664</v>
      </c>
      <c r="E66">
        <f t="shared" si="11"/>
        <v>0</v>
      </c>
    </row>
    <row r="67" spans="1:5" ht="16" x14ac:dyDescent="0.2">
      <c r="A67" s="4">
        <v>56643</v>
      </c>
      <c r="B67">
        <f t="shared" ref="B67:B97" si="12">ROUND(A67*0.01,0)</f>
        <v>566</v>
      </c>
      <c r="C67">
        <f t="shared" ref="C67:C97" si="13">ROUND(A67*0.05,0)</f>
        <v>2832</v>
      </c>
      <c r="D67">
        <f t="shared" ref="D67:D97" si="14">ROUND(A67*0.1,0)</f>
        <v>5664</v>
      </c>
      <c r="E67">
        <f t="shared" si="11"/>
        <v>0</v>
      </c>
    </row>
    <row r="68" spans="1:5" ht="16" x14ac:dyDescent="0.2">
      <c r="A68" s="4">
        <v>56643</v>
      </c>
      <c r="B68">
        <f t="shared" si="12"/>
        <v>566</v>
      </c>
      <c r="C68">
        <f t="shared" si="13"/>
        <v>2832</v>
      </c>
      <c r="D68">
        <f t="shared" si="14"/>
        <v>5664</v>
      </c>
      <c r="E68">
        <f t="shared" si="11"/>
        <v>0</v>
      </c>
    </row>
    <row r="69" spans="1:5" ht="16" x14ac:dyDescent="0.2">
      <c r="A69" s="4">
        <v>56643</v>
      </c>
      <c r="B69">
        <f t="shared" si="12"/>
        <v>566</v>
      </c>
      <c r="C69">
        <f t="shared" si="13"/>
        <v>2832</v>
      </c>
      <c r="D69">
        <f t="shared" si="14"/>
        <v>5664</v>
      </c>
      <c r="E69">
        <f t="shared" si="11"/>
        <v>0</v>
      </c>
    </row>
    <row r="70" spans="1:5" ht="16" x14ac:dyDescent="0.2">
      <c r="A70" s="4">
        <v>49975.25</v>
      </c>
      <c r="B70">
        <f t="shared" si="12"/>
        <v>500</v>
      </c>
      <c r="C70">
        <f t="shared" si="13"/>
        <v>2499</v>
      </c>
      <c r="D70">
        <f t="shared" si="14"/>
        <v>4998</v>
      </c>
      <c r="E70">
        <f t="shared" si="11"/>
        <v>0</v>
      </c>
    </row>
    <row r="71" spans="1:5" ht="16" x14ac:dyDescent="0.2">
      <c r="A71" s="4">
        <v>49975.25</v>
      </c>
      <c r="B71">
        <f t="shared" si="12"/>
        <v>500</v>
      </c>
      <c r="C71">
        <f t="shared" si="13"/>
        <v>2499</v>
      </c>
      <c r="D71">
        <f t="shared" si="14"/>
        <v>4998</v>
      </c>
      <c r="E71">
        <f t="shared" si="11"/>
        <v>0</v>
      </c>
    </row>
    <row r="72" spans="1:5" ht="16" x14ac:dyDescent="0.2">
      <c r="A72" s="4">
        <v>49975.25</v>
      </c>
      <c r="B72">
        <f t="shared" si="12"/>
        <v>500</v>
      </c>
      <c r="C72">
        <f t="shared" si="13"/>
        <v>2499</v>
      </c>
      <c r="D72">
        <f t="shared" si="14"/>
        <v>4998</v>
      </c>
      <c r="E72">
        <f>20*$F$2</f>
        <v>2000</v>
      </c>
    </row>
    <row r="73" spans="1:5" ht="16" x14ac:dyDescent="0.2">
      <c r="A73" s="4">
        <v>49975.25</v>
      </c>
      <c r="B73">
        <f t="shared" si="12"/>
        <v>500</v>
      </c>
      <c r="C73">
        <f t="shared" si="13"/>
        <v>2499</v>
      </c>
      <c r="D73">
        <f t="shared" si="14"/>
        <v>4998</v>
      </c>
      <c r="E73">
        <f t="shared" ref="E73:E75" si="15">20*$F$2</f>
        <v>2000</v>
      </c>
    </row>
    <row r="74" spans="1:5" ht="16" x14ac:dyDescent="0.2">
      <c r="A74" s="4">
        <v>32104</v>
      </c>
      <c r="B74">
        <f t="shared" si="12"/>
        <v>321</v>
      </c>
      <c r="C74">
        <f t="shared" si="13"/>
        <v>1605</v>
      </c>
      <c r="D74">
        <f t="shared" si="14"/>
        <v>3210</v>
      </c>
      <c r="E74">
        <f t="shared" si="15"/>
        <v>2000</v>
      </c>
    </row>
    <row r="75" spans="1:5" ht="16" x14ac:dyDescent="0.2">
      <c r="A75" s="4">
        <v>32104</v>
      </c>
      <c r="B75">
        <f t="shared" si="12"/>
        <v>321</v>
      </c>
      <c r="C75">
        <f t="shared" si="13"/>
        <v>1605</v>
      </c>
      <c r="D75">
        <f t="shared" si="14"/>
        <v>3210</v>
      </c>
      <c r="E75">
        <f t="shared" si="15"/>
        <v>2000</v>
      </c>
    </row>
    <row r="76" spans="1:5" ht="16" x14ac:dyDescent="0.2">
      <c r="A76" s="4">
        <v>32104</v>
      </c>
      <c r="B76">
        <f t="shared" si="12"/>
        <v>321</v>
      </c>
      <c r="C76">
        <f t="shared" si="13"/>
        <v>1605</v>
      </c>
      <c r="D76">
        <f t="shared" si="14"/>
        <v>3210</v>
      </c>
      <c r="E76">
        <f>8*$F$2</f>
        <v>800</v>
      </c>
    </row>
    <row r="77" spans="1:5" ht="16" x14ac:dyDescent="0.2">
      <c r="A77" s="4">
        <v>32104</v>
      </c>
      <c r="B77">
        <f t="shared" si="12"/>
        <v>321</v>
      </c>
      <c r="C77">
        <f t="shared" si="13"/>
        <v>1605</v>
      </c>
      <c r="D77">
        <f t="shared" si="14"/>
        <v>3210</v>
      </c>
      <c r="E77">
        <f>7*$F$2</f>
        <v>700</v>
      </c>
    </row>
    <row r="78" spans="1:5" ht="16" x14ac:dyDescent="0.2">
      <c r="A78" s="4">
        <v>22266.75</v>
      </c>
      <c r="B78">
        <f t="shared" si="12"/>
        <v>223</v>
      </c>
      <c r="C78">
        <f t="shared" si="13"/>
        <v>1113</v>
      </c>
      <c r="D78">
        <f t="shared" si="14"/>
        <v>2227</v>
      </c>
      <c r="E78">
        <f>2*$F$2</f>
        <v>200</v>
      </c>
    </row>
    <row r="79" spans="1:5" ht="16" x14ac:dyDescent="0.2">
      <c r="A79" s="4">
        <v>22266.75</v>
      </c>
      <c r="B79">
        <f t="shared" si="12"/>
        <v>223</v>
      </c>
      <c r="C79">
        <f t="shared" si="13"/>
        <v>1113</v>
      </c>
      <c r="D79">
        <f t="shared" si="14"/>
        <v>2227</v>
      </c>
      <c r="E79">
        <f t="shared" ref="E79:E87" si="16">0*$F$2</f>
        <v>0</v>
      </c>
    </row>
    <row r="80" spans="1:5" ht="16" x14ac:dyDescent="0.2">
      <c r="A80" s="4">
        <v>22266.75</v>
      </c>
      <c r="B80">
        <f t="shared" si="12"/>
        <v>223</v>
      </c>
      <c r="C80">
        <f t="shared" si="13"/>
        <v>1113</v>
      </c>
      <c r="D80">
        <f t="shared" si="14"/>
        <v>2227</v>
      </c>
      <c r="E80">
        <f t="shared" si="16"/>
        <v>0</v>
      </c>
    </row>
    <row r="81" spans="1:5" ht="16" x14ac:dyDescent="0.2">
      <c r="A81" s="4">
        <v>22266.75</v>
      </c>
      <c r="B81">
        <f t="shared" si="12"/>
        <v>223</v>
      </c>
      <c r="C81">
        <f t="shared" si="13"/>
        <v>1113</v>
      </c>
      <c r="D81">
        <f t="shared" si="14"/>
        <v>2227</v>
      </c>
      <c r="E81">
        <f t="shared" si="16"/>
        <v>0</v>
      </c>
    </row>
    <row r="82" spans="1:5" ht="16" x14ac:dyDescent="0.2">
      <c r="A82" s="4">
        <v>16930.5</v>
      </c>
      <c r="B82">
        <f t="shared" si="12"/>
        <v>169</v>
      </c>
      <c r="C82">
        <f t="shared" si="13"/>
        <v>847</v>
      </c>
      <c r="D82">
        <f t="shared" si="14"/>
        <v>1693</v>
      </c>
      <c r="E82">
        <f t="shared" si="16"/>
        <v>0</v>
      </c>
    </row>
    <row r="83" spans="1:5" ht="16" x14ac:dyDescent="0.2">
      <c r="A83" s="4">
        <v>16930.5</v>
      </c>
      <c r="B83">
        <f t="shared" si="12"/>
        <v>169</v>
      </c>
      <c r="C83">
        <f t="shared" si="13"/>
        <v>847</v>
      </c>
      <c r="D83">
        <f t="shared" si="14"/>
        <v>1693</v>
      </c>
      <c r="E83">
        <f t="shared" si="16"/>
        <v>0</v>
      </c>
    </row>
    <row r="84" spans="1:5" ht="16" x14ac:dyDescent="0.2">
      <c r="A84" s="4">
        <v>16930.5</v>
      </c>
      <c r="B84">
        <f t="shared" si="12"/>
        <v>169</v>
      </c>
      <c r="C84">
        <f t="shared" si="13"/>
        <v>847</v>
      </c>
      <c r="D84">
        <f t="shared" si="14"/>
        <v>1693</v>
      </c>
      <c r="E84">
        <f t="shared" si="16"/>
        <v>0</v>
      </c>
    </row>
    <row r="85" spans="1:5" ht="16" x14ac:dyDescent="0.2">
      <c r="A85" s="4">
        <v>16930.5</v>
      </c>
      <c r="B85">
        <f t="shared" si="12"/>
        <v>169</v>
      </c>
      <c r="C85">
        <f t="shared" si="13"/>
        <v>847</v>
      </c>
      <c r="D85">
        <f t="shared" si="14"/>
        <v>1693</v>
      </c>
      <c r="E85">
        <f t="shared" si="16"/>
        <v>0</v>
      </c>
    </row>
    <row r="86" spans="1:5" ht="16" x14ac:dyDescent="0.2">
      <c r="A86" s="4">
        <v>13005.25</v>
      </c>
      <c r="B86">
        <f t="shared" si="12"/>
        <v>130</v>
      </c>
      <c r="C86">
        <f t="shared" si="13"/>
        <v>650</v>
      </c>
      <c r="D86">
        <f t="shared" si="14"/>
        <v>1301</v>
      </c>
      <c r="E86">
        <f t="shared" si="16"/>
        <v>0</v>
      </c>
    </row>
    <row r="87" spans="1:5" ht="16" x14ac:dyDescent="0.2">
      <c r="A87" s="4">
        <v>13005.25</v>
      </c>
      <c r="B87">
        <f t="shared" si="12"/>
        <v>130</v>
      </c>
      <c r="C87">
        <f t="shared" si="13"/>
        <v>650</v>
      </c>
      <c r="D87">
        <f t="shared" si="14"/>
        <v>1301</v>
      </c>
      <c r="E87">
        <f t="shared" si="16"/>
        <v>0</v>
      </c>
    </row>
    <row r="88" spans="1:5" ht="16" x14ac:dyDescent="0.2">
      <c r="A88" s="4">
        <v>13005.25</v>
      </c>
      <c r="B88">
        <f t="shared" si="12"/>
        <v>130</v>
      </c>
      <c r="C88">
        <f t="shared" si="13"/>
        <v>650</v>
      </c>
      <c r="D88">
        <f t="shared" si="14"/>
        <v>1301</v>
      </c>
      <c r="E88">
        <f>25*$F$2</f>
        <v>2500</v>
      </c>
    </row>
    <row r="89" spans="1:5" ht="16" x14ac:dyDescent="0.2">
      <c r="A89" s="4">
        <v>13005.25</v>
      </c>
      <c r="B89">
        <f t="shared" si="12"/>
        <v>130</v>
      </c>
      <c r="C89">
        <f t="shared" si="13"/>
        <v>650</v>
      </c>
      <c r="D89">
        <f t="shared" si="14"/>
        <v>1301</v>
      </c>
      <c r="E89">
        <f t="shared" ref="E89:E92" si="17">25*$F$2</f>
        <v>2500</v>
      </c>
    </row>
    <row r="90" spans="1:5" ht="16" x14ac:dyDescent="0.2">
      <c r="A90" s="4">
        <v>8475</v>
      </c>
      <c r="B90">
        <f t="shared" si="12"/>
        <v>85</v>
      </c>
      <c r="C90">
        <f t="shared" si="13"/>
        <v>424</v>
      </c>
      <c r="D90">
        <f t="shared" si="14"/>
        <v>848</v>
      </c>
      <c r="E90">
        <f t="shared" si="17"/>
        <v>2500</v>
      </c>
    </row>
    <row r="91" spans="1:5" ht="16" x14ac:dyDescent="0.2">
      <c r="A91" s="4">
        <v>8475</v>
      </c>
      <c r="B91">
        <f t="shared" si="12"/>
        <v>85</v>
      </c>
      <c r="C91">
        <f t="shared" si="13"/>
        <v>424</v>
      </c>
      <c r="D91">
        <f t="shared" si="14"/>
        <v>848</v>
      </c>
      <c r="E91">
        <f t="shared" si="17"/>
        <v>2500</v>
      </c>
    </row>
    <row r="92" spans="1:5" ht="16" x14ac:dyDescent="0.2">
      <c r="A92" s="4">
        <v>8475</v>
      </c>
      <c r="B92">
        <f t="shared" si="12"/>
        <v>85</v>
      </c>
      <c r="C92">
        <f t="shared" si="13"/>
        <v>424</v>
      </c>
      <c r="D92">
        <f t="shared" si="14"/>
        <v>848</v>
      </c>
      <c r="E92">
        <f t="shared" si="17"/>
        <v>2500</v>
      </c>
    </row>
    <row r="93" spans="1:5" ht="16" x14ac:dyDescent="0.2">
      <c r="A93" s="4">
        <v>8475</v>
      </c>
      <c r="B93">
        <f t="shared" si="12"/>
        <v>85</v>
      </c>
      <c r="C93">
        <f t="shared" si="13"/>
        <v>424</v>
      </c>
      <c r="D93">
        <f t="shared" si="14"/>
        <v>848</v>
      </c>
      <c r="E93">
        <f>5*$F$2</f>
        <v>500</v>
      </c>
    </row>
    <row r="94" spans="1:5" ht="16" x14ac:dyDescent="0.2">
      <c r="A94" s="4">
        <v>4897</v>
      </c>
      <c r="B94">
        <f t="shared" si="12"/>
        <v>49</v>
      </c>
      <c r="C94">
        <f t="shared" si="13"/>
        <v>245</v>
      </c>
      <c r="D94">
        <f t="shared" si="14"/>
        <v>490</v>
      </c>
      <c r="E94">
        <f>2*$F$2</f>
        <v>200</v>
      </c>
    </row>
    <row r="95" spans="1:5" ht="16" x14ac:dyDescent="0.2">
      <c r="A95" s="4">
        <v>4897</v>
      </c>
      <c r="B95">
        <f t="shared" si="12"/>
        <v>49</v>
      </c>
      <c r="C95">
        <f t="shared" si="13"/>
        <v>245</v>
      </c>
      <c r="D95">
        <f t="shared" si="14"/>
        <v>490</v>
      </c>
      <c r="E95">
        <f>1*$F$2</f>
        <v>100</v>
      </c>
    </row>
    <row r="96" spans="1:5" ht="16" x14ac:dyDescent="0.2">
      <c r="A96" s="4">
        <v>4897</v>
      </c>
      <c r="B96">
        <f t="shared" si="12"/>
        <v>49</v>
      </c>
      <c r="C96">
        <f t="shared" si="13"/>
        <v>245</v>
      </c>
      <c r="D96">
        <f t="shared" si="14"/>
        <v>490</v>
      </c>
      <c r="E96">
        <f>0*$F$2</f>
        <v>0</v>
      </c>
    </row>
    <row r="97" spans="1:5" ht="16" x14ac:dyDescent="0.2">
      <c r="A97" s="4">
        <v>4897</v>
      </c>
      <c r="B97">
        <f t="shared" si="12"/>
        <v>49</v>
      </c>
      <c r="C97">
        <f t="shared" si="13"/>
        <v>245</v>
      </c>
      <c r="D97">
        <f t="shared" si="14"/>
        <v>490</v>
      </c>
      <c r="E97">
        <f>0*$F$2</f>
        <v>0</v>
      </c>
    </row>
    <row r="102" spans="1:5" x14ac:dyDescent="0.2">
      <c r="E102" s="3"/>
    </row>
    <row r="103" spans="1:5" x14ac:dyDescent="0.2">
      <c r="A103">
        <f>SUM(A2:A97)</f>
        <v>2128407</v>
      </c>
      <c r="C103">
        <f>100-(((A103-5692)/A103)*100)</f>
        <v>0.26743005449615964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Jônatas Augusto Manzolli</cp:lastModifiedBy>
  <dcterms:created xsi:type="dcterms:W3CDTF">2024-07-18T11:40:09Z</dcterms:created>
  <dcterms:modified xsi:type="dcterms:W3CDTF">2025-02-14T18:35:57Z</dcterms:modified>
</cp:coreProperties>
</file>