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sensitivity_results/"/>
    </mc:Choice>
  </mc:AlternateContent>
  <xr:revisionPtr revIDLastSave="0" documentId="13_ncr:1_{F760351F-E435-0B47-8A0C-EC67946F4CBA}" xr6:coauthVersionLast="47" xr6:coauthVersionMax="47" xr10:uidLastSave="{00000000-0000-0000-0000-000000000000}"/>
  <bookViews>
    <workbookView xWindow="8380" yWindow="9380" windowWidth="28100" windowHeight="18580" xr2:uid="{00000000-000D-0000-FFFF-FFFF00000000}"/>
  </bookViews>
  <sheets>
    <sheet name="Summary" sheetId="1" r:id="rId1"/>
    <sheet name="S1.1" sheetId="2" r:id="rId2"/>
    <sheet name="S1.2" sheetId="3" r:id="rId3"/>
    <sheet name="S2.1" sheetId="4" r:id="rId4"/>
    <sheet name="S2.2" sheetId="5" r:id="rId5"/>
    <sheet name="S3.1" sheetId="6" r:id="rId6"/>
    <sheet name="S3.2" sheetId="7" r:id="rId7"/>
    <sheet name="S4.1" sheetId="8" r:id="rId8"/>
    <sheet name="S4.2" sheetId="9" r:id="rId9"/>
    <sheet name="S5.1" sheetId="10" r:id="rId10"/>
    <sheet name="S5.2" sheetId="11" r:id="rId11"/>
  </sheets>
  <definedNames>
    <definedName name="_xlchart.v1.0" hidden="1">Summary!$A$2:$A$9</definedName>
    <definedName name="_xlchart.v1.1" hidden="1">Summary!$B$1</definedName>
    <definedName name="_xlchart.v1.2" hidden="1">Summary!$B$2:$B$9</definedName>
    <definedName name="_xlchart.v1.3" hidden="1">Summary!$C$1</definedName>
    <definedName name="_xlchart.v1.4" hidden="1">Summary!$C$2:$C$9</definedName>
    <definedName name="_xlchart.v1.5" hidden="1">Summary!$D$1</definedName>
    <definedName name="_xlchart.v1.6" hidden="1">Summary!$D$2:$D$9</definedName>
    <definedName name="_xlchart.v2.10" hidden="1">Summary!$C$1</definedName>
    <definedName name="_xlchart.v2.11" hidden="1">Summary!$C$2:$C$9</definedName>
    <definedName name="_xlchart.v2.12" hidden="1">Summary!$D$1</definedName>
    <definedName name="_xlchart.v2.13" hidden="1">Summary!$D$2:$D$9</definedName>
    <definedName name="_xlchart.v2.7" hidden="1">Summary!$A$2:$A$9</definedName>
    <definedName name="_xlchart.v2.8" hidden="1">Summary!$B$1</definedName>
    <definedName name="_xlchart.v2.9" hidden="1">Summary!$B$2:$B$9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F4" i="1"/>
  <c r="F5" i="1"/>
  <c r="F6" i="1"/>
  <c r="F7" i="1"/>
  <c r="F8" i="1"/>
  <c r="G4" i="1"/>
  <c r="G5" i="1"/>
  <c r="G6" i="1"/>
  <c r="G7" i="1"/>
  <c r="G8" i="1"/>
  <c r="G3" i="1"/>
  <c r="F3" i="1"/>
  <c r="E3" i="1"/>
</calcChain>
</file>

<file path=xl/sharedStrings.xml><?xml version="1.0" encoding="utf-8"?>
<sst xmlns="http://schemas.openxmlformats.org/spreadsheetml/2006/main" count="86" uniqueCount="21">
  <si>
    <t>total_revenues</t>
  </si>
  <si>
    <t>total_passengers</t>
  </si>
  <si>
    <t>total_energy_provided</t>
  </si>
  <si>
    <t>total_energy_charged</t>
  </si>
  <si>
    <t>total_degradation</t>
  </si>
  <si>
    <t>S1.1</t>
  </si>
  <si>
    <t>S1.2</t>
  </si>
  <si>
    <t>S2.1</t>
  </si>
  <si>
    <t>S2.2</t>
  </si>
  <si>
    <t>S3.1</t>
  </si>
  <si>
    <t>S3.2</t>
  </si>
  <si>
    <t>Objective</t>
  </si>
  <si>
    <t>Value</t>
  </si>
  <si>
    <t>Base</t>
  </si>
  <si>
    <t>% Revenues</t>
  </si>
  <si>
    <t>% Passengers</t>
  </si>
  <si>
    <t>% Energy</t>
  </si>
  <si>
    <t>-</t>
  </si>
  <si>
    <t>Passengers</t>
  </si>
  <si>
    <t>Revenues [CAD$]</t>
  </si>
  <si>
    <t>Energy charged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</si>
</sst>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9" fontId="0" fillId="0" borderId="0" xfId="1" applyFont="1"/>
    <xf numFmtId="168" fontId="0" fillId="0" borderId="0" xfId="1" applyNumberFormat="1" applyFon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Pe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96398133040184"/>
          <c:y val="4.9295762222931881E-2"/>
          <c:w val="0.85324487912943114"/>
          <c:h val="0.49818823127289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Summary!$B$2:$D$2</c:f>
              <c:numCache>
                <c:formatCode>0.00</c:formatCode>
                <c:ptCount val="3"/>
                <c:pt idx="0">
                  <c:v>1968.72</c:v>
                </c:pt>
                <c:pt idx="1">
                  <c:v>5692</c:v>
                </c:pt>
                <c:pt idx="2">
                  <c:v>8772.75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0-FA49-8BBB-6F4720B7AC8A}"/>
            </c:ext>
          </c:extLst>
        </c:ser>
        <c:ser>
          <c:idx val="1"/>
          <c:order val="1"/>
          <c:tx>
            <c:strRef>
              <c:f>Summary!$A$3</c:f>
              <c:strCache>
                <c:ptCount val="1"/>
                <c:pt idx="0">
                  <c:v>S1.1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Summary!$B$3:$D$3</c:f>
              <c:numCache>
                <c:formatCode>0.00</c:formatCode>
                <c:ptCount val="3"/>
                <c:pt idx="0">
                  <c:v>1636</c:v>
                </c:pt>
                <c:pt idx="1">
                  <c:v>4640</c:v>
                </c:pt>
                <c:pt idx="2">
                  <c:v>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0-FA49-8BBB-6F4720B7AC8A}"/>
            </c:ext>
          </c:extLst>
        </c:ser>
        <c:ser>
          <c:idx val="2"/>
          <c:order val="2"/>
          <c:tx>
            <c:strRef>
              <c:f>Summary!$A$4</c:f>
              <c:strCache>
                <c:ptCount val="1"/>
                <c:pt idx="0">
                  <c:v>S1.2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Summary!$B$4:$D$4</c:f>
              <c:numCache>
                <c:formatCode>0.00</c:formatCode>
                <c:ptCount val="3"/>
                <c:pt idx="0">
                  <c:v>2035.95</c:v>
                </c:pt>
                <c:pt idx="1">
                  <c:v>5781</c:v>
                </c:pt>
                <c:pt idx="2">
                  <c:v>8545.5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0-FA49-8BBB-6F4720B7AC8A}"/>
            </c:ext>
          </c:extLst>
        </c:ser>
        <c:ser>
          <c:idx val="3"/>
          <c:order val="3"/>
          <c:tx>
            <c:strRef>
              <c:f>Summary!$A$5</c:f>
              <c:strCache>
                <c:ptCount val="1"/>
                <c:pt idx="0">
                  <c:v>S2.1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Summary!$B$5:$D$5</c:f>
              <c:numCache>
                <c:formatCode>0.00</c:formatCode>
                <c:ptCount val="3"/>
                <c:pt idx="0">
                  <c:v>2026.2249999999999</c:v>
                </c:pt>
                <c:pt idx="1">
                  <c:v>5762</c:v>
                </c:pt>
                <c:pt idx="2">
                  <c:v>8547.75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0-FA49-8BBB-6F4720B7AC8A}"/>
            </c:ext>
          </c:extLst>
        </c:ser>
        <c:ser>
          <c:idx val="4"/>
          <c:order val="4"/>
          <c:tx>
            <c:strRef>
              <c:f>Summary!$A$6</c:f>
              <c:strCache>
                <c:ptCount val="1"/>
                <c:pt idx="0">
                  <c:v>S2.2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Summary!$B$6:$D$6</c:f>
              <c:numCache>
                <c:formatCode>0.00</c:formatCode>
                <c:ptCount val="3"/>
                <c:pt idx="0">
                  <c:v>2036.95</c:v>
                </c:pt>
                <c:pt idx="1">
                  <c:v>5783</c:v>
                </c:pt>
                <c:pt idx="2">
                  <c:v>8545.5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0-FA49-8BBB-6F4720B7AC8A}"/>
            </c:ext>
          </c:extLst>
        </c:ser>
        <c:ser>
          <c:idx val="5"/>
          <c:order val="5"/>
          <c:tx>
            <c:strRef>
              <c:f>Summary!$A$7</c:f>
              <c:strCache>
                <c:ptCount val="1"/>
                <c:pt idx="0">
                  <c:v>S3.1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Summary!$B$7:$D$7</c:f>
              <c:numCache>
                <c:formatCode>0.00</c:formatCode>
                <c:ptCount val="3"/>
                <c:pt idx="0">
                  <c:v>1441.95</c:v>
                </c:pt>
                <c:pt idx="1">
                  <c:v>4098</c:v>
                </c:pt>
                <c:pt idx="2">
                  <c:v>6070.5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0-FA49-8BBB-6F4720B7AC8A}"/>
            </c:ext>
          </c:extLst>
        </c:ser>
        <c:ser>
          <c:idx val="6"/>
          <c:order val="6"/>
          <c:tx>
            <c:strRef>
              <c:f>Summary!$A$8</c:f>
              <c:strCache>
                <c:ptCount val="1"/>
                <c:pt idx="0">
                  <c:v>S3.2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Summary!$B$1:$D$1</c:f>
              <c:strCache>
                <c:ptCount val="3"/>
                <c:pt idx="0">
                  <c:v>Revenues [CAD$]</c:v>
                </c:pt>
                <c:pt idx="1">
                  <c:v>Passengers</c:v>
                </c:pt>
                <c:pt idx="2">
                  <c:v>Energy charged [kWh]</c:v>
                </c:pt>
              </c:strCache>
            </c:strRef>
          </c:cat>
          <c:val>
            <c:numRef>
              <c:f>Summary!$B$8:$D$8</c:f>
              <c:numCache>
                <c:formatCode>0.00</c:formatCode>
                <c:ptCount val="3"/>
                <c:pt idx="0">
                  <c:v>2316.9</c:v>
                </c:pt>
                <c:pt idx="1">
                  <c:v>6594</c:v>
                </c:pt>
                <c:pt idx="2">
                  <c:v>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20-FA49-8BBB-6F4720B7A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580224"/>
        <c:axId val="225067104"/>
      </c:barChart>
      <c:catAx>
        <c:axId val="1626580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5067104"/>
        <c:crosses val="autoZero"/>
        <c:auto val="1"/>
        <c:lblAlgn val="ctr"/>
        <c:lblOffset val="100"/>
        <c:noMultiLvlLbl val="0"/>
      </c:catAx>
      <c:valAx>
        <c:axId val="225067104"/>
        <c:scaling>
          <c:orientation val="minMax"/>
          <c:max val="100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26580224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t-PT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690008509960636"/>
          <c:y val="8.1539571128653371E-2"/>
          <c:w val="0.54464365161913197"/>
          <c:h val="6.6206403837679798E-2"/>
        </c:manualLayout>
      </c:layout>
      <c:overlay val="0"/>
      <c:spPr>
        <a:solidFill>
          <a:schemeClr val="bg1">
            <a:alpha val="75174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1179285</xdr:colOff>
      <xdr:row>10</xdr:row>
      <xdr:rowOff>101599</xdr:rowOff>
    </xdr:from>
    <xdr:to>
      <xdr:col>6</xdr:col>
      <xdr:colOff>829733</xdr:colOff>
      <xdr:row>27</xdr:row>
      <xdr:rowOff>143934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CFAD84-EE6E-99C5-DDD3-437EF680D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9" zoomScale="169" workbookViewId="0">
      <selection activeCell="F11" sqref="F11"/>
    </sheetView>
  </sheetViews>
  <sheetFormatPr baseColWidth="10" defaultColWidth="8.83203125" defaultRowHeight="15" x14ac:dyDescent="0.2"/>
  <cols>
    <col min="2" max="2" width="16.6640625" customWidth="1"/>
    <col min="3" max="3" width="19.33203125" customWidth="1"/>
    <col min="4" max="4" width="22.6640625" customWidth="1"/>
    <col min="5" max="5" width="14.83203125" customWidth="1"/>
    <col min="6" max="6" width="13.6640625" customWidth="1"/>
    <col min="7" max="7" width="11" customWidth="1"/>
  </cols>
  <sheetData>
    <row r="1" spans="1:7" ht="16" thickBot="1" x14ac:dyDescent="0.25">
      <c r="A1" s="5"/>
      <c r="B1" s="6" t="s">
        <v>19</v>
      </c>
      <c r="C1" s="6" t="s">
        <v>18</v>
      </c>
      <c r="D1" s="6" t="s">
        <v>20</v>
      </c>
      <c r="E1" s="2" t="s">
        <v>14</v>
      </c>
      <c r="F1" s="2" t="s">
        <v>15</v>
      </c>
      <c r="G1" s="2" t="s">
        <v>16</v>
      </c>
    </row>
    <row r="2" spans="1:7" ht="16" thickBot="1" x14ac:dyDescent="0.25">
      <c r="A2" s="7" t="s">
        <v>13</v>
      </c>
      <c r="B2" s="8">
        <v>1968.72</v>
      </c>
      <c r="C2" s="8">
        <v>5692</v>
      </c>
      <c r="D2" s="8">
        <v>8772.75</v>
      </c>
      <c r="E2" s="3" t="s">
        <v>17</v>
      </c>
      <c r="F2" s="3" t="s">
        <v>17</v>
      </c>
      <c r="G2" s="3" t="s">
        <v>17</v>
      </c>
    </row>
    <row r="3" spans="1:7" x14ac:dyDescent="0.2">
      <c r="A3" s="6" t="s">
        <v>5</v>
      </c>
      <c r="B3" s="5">
        <v>1636</v>
      </c>
      <c r="C3" s="5">
        <v>4640</v>
      </c>
      <c r="D3" s="5">
        <v>6840</v>
      </c>
      <c r="E3" s="4">
        <f>(B3-$B$2)/B3</f>
        <v>-0.20337408312958438</v>
      </c>
      <c r="F3" s="4">
        <f>(C3-$C$2)/C3</f>
        <v>-0.22672413793103449</v>
      </c>
      <c r="G3" s="4">
        <f>(D3-$D$2)/D3</f>
        <v>-0.28256578947368421</v>
      </c>
    </row>
    <row r="4" spans="1:7" x14ac:dyDescent="0.2">
      <c r="A4" s="6" t="s">
        <v>6</v>
      </c>
      <c r="B4" s="5">
        <v>2035.95</v>
      </c>
      <c r="C4" s="5">
        <v>5781</v>
      </c>
      <c r="D4" s="5">
        <v>8545.5</v>
      </c>
      <c r="E4" s="4">
        <f t="shared" ref="E4:E8" si="0">(B4-$B$2)/B4</f>
        <v>3.3021439622780528E-2</v>
      </c>
      <c r="F4" s="4">
        <f t="shared" ref="F4:F8" si="1">(C4-$C$2)/C4</f>
        <v>1.5395260335582079E-2</v>
      </c>
      <c r="G4" s="4">
        <f t="shared" ref="G4:G8" si="2">(D4-$D$2)/D4</f>
        <v>-2.6592943654555029E-2</v>
      </c>
    </row>
    <row r="5" spans="1:7" x14ac:dyDescent="0.2">
      <c r="A5" s="6" t="s">
        <v>7</v>
      </c>
      <c r="B5" s="5">
        <v>2026.2249999999999</v>
      </c>
      <c r="C5" s="5">
        <v>5762</v>
      </c>
      <c r="D5" s="5">
        <v>8547.75</v>
      </c>
      <c r="E5" s="4">
        <f t="shared" si="0"/>
        <v>2.8380362496761163E-2</v>
      </c>
      <c r="F5" s="4">
        <f t="shared" si="1"/>
        <v>1.2148559527941687E-2</v>
      </c>
      <c r="G5" s="4">
        <f t="shared" si="2"/>
        <v>-2.6322716504343247E-2</v>
      </c>
    </row>
    <row r="6" spans="1:7" x14ac:dyDescent="0.2">
      <c r="A6" s="6" t="s">
        <v>8</v>
      </c>
      <c r="B6" s="5">
        <v>2036.95</v>
      </c>
      <c r="C6" s="5">
        <v>5783</v>
      </c>
      <c r="D6" s="5">
        <v>8545.5</v>
      </c>
      <c r="E6" s="4">
        <f t="shared" si="0"/>
        <v>3.3496158472225639E-2</v>
      </c>
      <c r="F6" s="4">
        <f t="shared" si="1"/>
        <v>1.5735777278229293E-2</v>
      </c>
      <c r="G6" s="4">
        <f t="shared" si="2"/>
        <v>-2.6592943654555029E-2</v>
      </c>
    </row>
    <row r="7" spans="1:7" x14ac:dyDescent="0.2">
      <c r="A7" s="6" t="s">
        <v>9</v>
      </c>
      <c r="B7" s="5">
        <v>1441.95</v>
      </c>
      <c r="C7" s="5">
        <v>4098</v>
      </c>
      <c r="D7" s="5">
        <v>6070.5</v>
      </c>
      <c r="E7" s="4">
        <f t="shared" si="0"/>
        <v>-0.36531779881410587</v>
      </c>
      <c r="F7" s="4">
        <f t="shared" si="1"/>
        <v>-0.38897022938018544</v>
      </c>
      <c r="G7" s="4">
        <f t="shared" si="2"/>
        <v>-0.44514455151964416</v>
      </c>
    </row>
    <row r="8" spans="1:7" x14ac:dyDescent="0.2">
      <c r="A8" s="6" t="s">
        <v>10</v>
      </c>
      <c r="B8" s="5">
        <v>2316.9</v>
      </c>
      <c r="C8" s="5">
        <v>6594</v>
      </c>
      <c r="D8" s="5">
        <v>9801</v>
      </c>
      <c r="E8" s="4">
        <f t="shared" si="0"/>
        <v>0.15027838922698436</v>
      </c>
      <c r="F8" s="4">
        <f t="shared" si="1"/>
        <v>0.13679102214134062</v>
      </c>
      <c r="G8" s="4">
        <f t="shared" si="2"/>
        <v>0.1049127640036731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1636</v>
      </c>
    </row>
    <row r="3" spans="1:2" x14ac:dyDescent="0.2">
      <c r="A3" t="s">
        <v>1</v>
      </c>
      <c r="B3">
        <v>4640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6840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2035.95</v>
      </c>
    </row>
    <row r="3" spans="1:2" x14ac:dyDescent="0.2">
      <c r="A3" t="s">
        <v>1</v>
      </c>
      <c r="B3">
        <v>5781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8545.5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2026.2249999999999</v>
      </c>
    </row>
    <row r="3" spans="1:2" x14ac:dyDescent="0.2">
      <c r="A3" t="s">
        <v>1</v>
      </c>
      <c r="B3">
        <v>5762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8547.75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2036.95</v>
      </c>
    </row>
    <row r="3" spans="1:2" x14ac:dyDescent="0.2">
      <c r="A3" t="s">
        <v>1</v>
      </c>
      <c r="B3">
        <v>5783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8545.5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1441.95</v>
      </c>
    </row>
    <row r="3" spans="1:2" x14ac:dyDescent="0.2">
      <c r="A3" t="s">
        <v>1</v>
      </c>
      <c r="B3">
        <v>4098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6070.5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2316.9</v>
      </c>
    </row>
    <row r="3" spans="1:2" x14ac:dyDescent="0.2">
      <c r="A3" t="s">
        <v>1</v>
      </c>
      <c r="B3">
        <v>6594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9801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2035.95</v>
      </c>
    </row>
    <row r="3" spans="1:2" x14ac:dyDescent="0.2">
      <c r="A3" t="s">
        <v>1</v>
      </c>
      <c r="B3">
        <v>5781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8545.5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2035.95</v>
      </c>
    </row>
    <row r="3" spans="1:2" x14ac:dyDescent="0.2">
      <c r="A3" t="s">
        <v>1</v>
      </c>
      <c r="B3">
        <v>5781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8545.5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2035.95</v>
      </c>
    </row>
    <row r="3" spans="1:2" x14ac:dyDescent="0.2">
      <c r="A3" t="s">
        <v>1</v>
      </c>
      <c r="B3">
        <v>5781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8545.5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0</v>
      </c>
      <c r="B2">
        <v>2035.95</v>
      </c>
    </row>
    <row r="3" spans="1:2" x14ac:dyDescent="0.2">
      <c r="A3" t="s">
        <v>1</v>
      </c>
      <c r="B3">
        <v>5781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8545.5</v>
      </c>
    </row>
    <row r="6" spans="1:2" x14ac:dyDescent="0.2">
      <c r="A6" t="s">
        <v>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Summary</vt:lpstr>
      <vt:lpstr>S1.1</vt:lpstr>
      <vt:lpstr>S1.2</vt:lpstr>
      <vt:lpstr>S2.1</vt:lpstr>
      <vt:lpstr>S2.2</vt:lpstr>
      <vt:lpstr>S3.1</vt:lpstr>
      <vt:lpstr>S3.2</vt:lpstr>
      <vt:lpstr>S4.1</vt:lpstr>
      <vt:lpstr>S4.2</vt:lpstr>
      <vt:lpstr>S5.1</vt:lpstr>
      <vt:lpstr>S5.2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2025-02-14T16:37:38Z</dcterms:created>
  <dcterms:modified xsi:type="dcterms:W3CDTF">2025-02-14T22:56:21Z</dcterms:modified>
</cp:coreProperties>
</file>