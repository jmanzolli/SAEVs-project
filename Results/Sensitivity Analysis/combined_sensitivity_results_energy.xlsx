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sensitivity_results/"/>
    </mc:Choice>
  </mc:AlternateContent>
  <xr:revisionPtr revIDLastSave="0" documentId="13_ncr:1_{1DD290CF-ECE2-584E-82B7-C21B35F8A22E}" xr6:coauthVersionLast="47" xr6:coauthVersionMax="47" xr10:uidLastSave="{00000000-0000-0000-0000-000000000000}"/>
  <bookViews>
    <workbookView xWindow="240" yWindow="880" windowWidth="23480" windowHeight="16440" xr2:uid="{00000000-000D-0000-FFFF-FFFF00000000}"/>
  </bookViews>
  <sheets>
    <sheet name="Summary" sheetId="1" r:id="rId1"/>
    <sheet name="S1.1" sheetId="2" r:id="rId2"/>
    <sheet name="S1.2" sheetId="3" r:id="rId3"/>
    <sheet name="S2.1" sheetId="4" r:id="rId4"/>
    <sheet name="S2.2" sheetId="5" r:id="rId5"/>
    <sheet name="S3.1" sheetId="6" r:id="rId6"/>
    <sheet name="S3.2" sheetId="7" r:id="rId7"/>
    <sheet name="S4.1" sheetId="8" r:id="rId8"/>
    <sheet name="S4.2" sheetId="9" r:id="rId9"/>
    <sheet name="S5.1" sheetId="10" r:id="rId10"/>
    <sheet name="S5.2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<sst xmlns="http://schemas.openxmlformats.org/spreadsheetml/2006/main" count="85" uniqueCount="17">
  <si>
    <t>total_revenues</t>
  </si>
  <si>
    <t>total_passengers</t>
  </si>
  <si>
    <t>total_energy_provided</t>
  </si>
  <si>
    <t>total_energy_charged</t>
  </si>
  <si>
    <t>total_degradation</t>
  </si>
  <si>
    <t>S1.1</t>
  </si>
  <si>
    <t>S1.2</t>
  </si>
  <si>
    <t>S2.1</t>
  </si>
  <si>
    <t>S2.2</t>
  </si>
  <si>
    <t>S3.1</t>
  </si>
  <si>
    <t>S3.2</t>
  </si>
  <si>
    <t>S4.1</t>
  </si>
  <si>
    <t>S4.2</t>
  </si>
  <si>
    <t>S5.1</t>
  </si>
  <si>
    <t>S5.2</t>
  </si>
  <si>
    <t>Objective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</si>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</sst>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1" sqref="B11:F11"/>
    </sheetView>
  </sheetViews>
  <sheetFormatPr baseColWidth="10" defaultColWidth="8.83203125" defaultRowHeight="15" x14ac:dyDescent="0.2"/>
  <cols>
    <col min="2" max="2" width="14.33203125" customWidth="1"/>
    <col min="3" max="3" width="13.6640625" customWidth="1"/>
    <col min="4" max="4" width="15" customWidth="1"/>
    <col min="5" max="5" width="20.5" customWidth="1"/>
    <col min="6" max="6" width="16.1640625" customWidth="1"/>
  </cols>
  <sheetData>
    <row r="1" spans="1:10" ht="16" thickBo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0" x14ac:dyDescent="0.2">
      <c r="A2" s="1" t="s">
        <v>5</v>
      </c>
      <c r="B2" s="2">
        <v>2508.6999999999998</v>
      </c>
      <c r="C2" s="3">
        <v>1245</v>
      </c>
      <c r="D2" s="3">
        <v>5910</v>
      </c>
      <c r="E2" s="2">
        <v>7683.75</v>
      </c>
      <c r="F2" s="4">
        <v>4.93</v>
      </c>
      <c r="I2">
        <f>D2*4</f>
        <v>23640</v>
      </c>
      <c r="J2">
        <f>E2*4</f>
        <v>30735</v>
      </c>
    </row>
    <row r="3" spans="1:10" x14ac:dyDescent="0.2">
      <c r="A3" s="1" t="s">
        <v>6</v>
      </c>
      <c r="B3" s="5">
        <v>3719.72</v>
      </c>
      <c r="C3" s="6">
        <v>2091</v>
      </c>
      <c r="D3" s="6">
        <v>8524</v>
      </c>
      <c r="E3" s="5">
        <v>11544.75</v>
      </c>
      <c r="F3" s="7">
        <v>7.1</v>
      </c>
      <c r="I3">
        <f t="shared" ref="I3:I11" si="0">D3*4</f>
        <v>34096</v>
      </c>
      <c r="J3">
        <f t="shared" ref="J3:J11" si="1">E3*4</f>
        <v>46179</v>
      </c>
    </row>
    <row r="4" spans="1:10" x14ac:dyDescent="0.2">
      <c r="A4" s="1" t="s">
        <v>7</v>
      </c>
      <c r="B4" s="5">
        <v>3119.61</v>
      </c>
      <c r="C4" s="6">
        <v>1655</v>
      </c>
      <c r="D4" s="6">
        <v>7246</v>
      </c>
      <c r="E4" s="5">
        <v>9625.5</v>
      </c>
      <c r="F4" s="7">
        <v>6.04</v>
      </c>
      <c r="I4">
        <f t="shared" si="0"/>
        <v>28984</v>
      </c>
      <c r="J4">
        <f t="shared" si="1"/>
        <v>38502</v>
      </c>
    </row>
    <row r="5" spans="1:10" x14ac:dyDescent="0.2">
      <c r="A5" s="1" t="s">
        <v>8</v>
      </c>
      <c r="B5" s="5">
        <v>3121.19</v>
      </c>
      <c r="C5" s="6">
        <v>1664</v>
      </c>
      <c r="D5" s="6">
        <v>7244</v>
      </c>
      <c r="E5" s="5">
        <v>9645.75</v>
      </c>
      <c r="F5" s="7">
        <v>6.04</v>
      </c>
      <c r="I5">
        <f t="shared" si="0"/>
        <v>28976</v>
      </c>
      <c r="J5">
        <f t="shared" si="1"/>
        <v>38583</v>
      </c>
    </row>
    <row r="6" spans="1:10" x14ac:dyDescent="0.2">
      <c r="A6" s="1" t="s">
        <v>9</v>
      </c>
      <c r="B6" s="5">
        <v>2359.4499999999998</v>
      </c>
      <c r="C6" s="7">
        <v>298</v>
      </c>
      <c r="D6" s="6">
        <v>6424</v>
      </c>
      <c r="E6" s="6">
        <v>6750</v>
      </c>
      <c r="F6" s="7">
        <v>5.35</v>
      </c>
      <c r="I6">
        <f t="shared" si="0"/>
        <v>25696</v>
      </c>
      <c r="J6">
        <f t="shared" si="1"/>
        <v>27000</v>
      </c>
    </row>
    <row r="7" spans="1:10" x14ac:dyDescent="0.2">
      <c r="A7" s="1" t="s">
        <v>10</v>
      </c>
      <c r="B7" s="5">
        <v>3496.27</v>
      </c>
      <c r="C7" s="6">
        <v>2516</v>
      </c>
      <c r="D7" s="6">
        <v>7462</v>
      </c>
      <c r="E7" s="5">
        <v>11134.13</v>
      </c>
      <c r="F7" s="7">
        <v>6.22</v>
      </c>
      <c r="I7">
        <f t="shared" si="0"/>
        <v>29848</v>
      </c>
      <c r="J7">
        <f t="shared" si="1"/>
        <v>44536.52</v>
      </c>
    </row>
    <row r="8" spans="1:10" x14ac:dyDescent="0.2">
      <c r="A8" s="1" t="s">
        <v>11</v>
      </c>
      <c r="B8" s="5">
        <v>2586.08</v>
      </c>
      <c r="C8" s="6">
        <v>2021</v>
      </c>
      <c r="D8" s="5">
        <v>5359.72</v>
      </c>
      <c r="E8" s="5">
        <v>8318.25</v>
      </c>
      <c r="F8" s="7">
        <v>4.47</v>
      </c>
      <c r="I8">
        <f t="shared" si="0"/>
        <v>21438.880000000001</v>
      </c>
      <c r="J8">
        <f t="shared" si="1"/>
        <v>33273</v>
      </c>
    </row>
    <row r="9" spans="1:10" ht="16" thickBot="1" x14ac:dyDescent="0.25">
      <c r="A9" s="1" t="s">
        <v>12</v>
      </c>
      <c r="B9" s="8">
        <v>4328.37</v>
      </c>
      <c r="C9" s="9">
        <v>1142</v>
      </c>
      <c r="D9" s="9">
        <v>11225</v>
      </c>
      <c r="E9" s="8">
        <v>12845.25</v>
      </c>
      <c r="F9" s="10">
        <v>9.35</v>
      </c>
      <c r="I9">
        <f t="shared" si="0"/>
        <v>44900</v>
      </c>
      <c r="J9">
        <f t="shared" si="1"/>
        <v>51381</v>
      </c>
    </row>
    <row r="10" spans="1:10" ht="16" thickBot="1" x14ac:dyDescent="0.25">
      <c r="A10" s="1" t="s">
        <v>13</v>
      </c>
      <c r="B10" s="11">
        <v>1968.72</v>
      </c>
      <c r="C10" s="12">
        <v>5692</v>
      </c>
      <c r="D10" s="10">
        <v>0</v>
      </c>
      <c r="E10" s="11">
        <v>8772.75</v>
      </c>
      <c r="F10" s="10">
        <v>0</v>
      </c>
      <c r="I10">
        <f t="shared" si="0"/>
        <v>0</v>
      </c>
      <c r="J10">
        <f t="shared" si="1"/>
        <v>35091</v>
      </c>
    </row>
    <row r="11" spans="1:10" ht="16" thickBot="1" x14ac:dyDescent="0.25">
      <c r="A11" s="1" t="s">
        <v>14</v>
      </c>
      <c r="B11" s="13">
        <f>C11*0.5+D11*0.6-E11*0.1-F11</f>
        <v>4197.3849999999993</v>
      </c>
      <c r="C11" s="14">
        <v>1627</v>
      </c>
      <c r="D11" s="14">
        <v>7244</v>
      </c>
      <c r="E11" s="13">
        <v>9564.75</v>
      </c>
      <c r="F11" s="15">
        <v>6.04</v>
      </c>
      <c r="I11">
        <f t="shared" si="0"/>
        <v>28976</v>
      </c>
      <c r="J11">
        <f t="shared" si="1"/>
        <v>38259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794.85625000000005</v>
      </c>
    </row>
    <row r="3" spans="1:2" x14ac:dyDescent="0.2">
      <c r="A3" t="s">
        <v>1</v>
      </c>
      <c r="B3">
        <v>1245</v>
      </c>
    </row>
    <row r="4" spans="1:2" x14ac:dyDescent="0.2">
      <c r="A4" t="s">
        <v>2</v>
      </c>
      <c r="B4">
        <v>1477.5</v>
      </c>
    </row>
    <row r="5" spans="1:2" x14ac:dyDescent="0.2">
      <c r="A5" t="s">
        <v>3</v>
      </c>
      <c r="B5">
        <v>1920.9375</v>
      </c>
    </row>
    <row r="6" spans="1:2" x14ac:dyDescent="0.2">
      <c r="A6" t="s">
        <v>4</v>
      </c>
      <c r="B6">
        <v>4.9250000000000016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1282.5279166666669</v>
      </c>
    </row>
    <row r="3" spans="1:2" x14ac:dyDescent="0.2">
      <c r="A3" t="s">
        <v>1</v>
      </c>
      <c r="B3">
        <v>2091</v>
      </c>
    </row>
    <row r="4" spans="1:2" x14ac:dyDescent="0.2">
      <c r="A4" t="s">
        <v>2</v>
      </c>
      <c r="B4">
        <v>2131</v>
      </c>
    </row>
    <row r="5" spans="1:2" x14ac:dyDescent="0.2">
      <c r="A5" t="s">
        <v>3</v>
      </c>
      <c r="B5">
        <v>2886.1875</v>
      </c>
    </row>
    <row r="6" spans="1:2" x14ac:dyDescent="0.2">
      <c r="A6" t="s">
        <v>4</v>
      </c>
      <c r="B6">
        <v>7.1033333333333362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1033.699166666667</v>
      </c>
    </row>
    <row r="3" spans="1:2" x14ac:dyDescent="0.2">
      <c r="A3" t="s">
        <v>1</v>
      </c>
      <c r="B3">
        <v>1655</v>
      </c>
    </row>
    <row r="4" spans="1:2" x14ac:dyDescent="0.2">
      <c r="A4" t="s">
        <v>2</v>
      </c>
      <c r="B4">
        <v>1811.5</v>
      </c>
    </row>
    <row r="5" spans="1:2" x14ac:dyDescent="0.2">
      <c r="A5" t="s">
        <v>3</v>
      </c>
      <c r="B5">
        <v>2406.375</v>
      </c>
    </row>
    <row r="6" spans="1:2" x14ac:dyDescent="0.2">
      <c r="A6" t="s">
        <v>4</v>
      </c>
      <c r="B6">
        <v>6.0383333333333349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1037.569583333333</v>
      </c>
    </row>
    <row r="3" spans="1:2" x14ac:dyDescent="0.2">
      <c r="A3" t="s">
        <v>1</v>
      </c>
      <c r="B3">
        <v>1664</v>
      </c>
    </row>
    <row r="4" spans="1:2" x14ac:dyDescent="0.2">
      <c r="A4" t="s">
        <v>2</v>
      </c>
      <c r="B4">
        <v>1811</v>
      </c>
    </row>
    <row r="5" spans="1:2" x14ac:dyDescent="0.2">
      <c r="A5" t="s">
        <v>3</v>
      </c>
      <c r="B5">
        <v>2411.4375</v>
      </c>
    </row>
    <row r="6" spans="1:2" x14ac:dyDescent="0.2">
      <c r="A6" t="s">
        <v>4</v>
      </c>
      <c r="B6">
        <v>6.036666666666668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376.39666666666659</v>
      </c>
    </row>
    <row r="3" spans="1:2" x14ac:dyDescent="0.2">
      <c r="A3" t="s">
        <v>1</v>
      </c>
      <c r="B3">
        <v>298</v>
      </c>
    </row>
    <row r="4" spans="1:2" x14ac:dyDescent="0.2">
      <c r="A4" t="s">
        <v>2</v>
      </c>
      <c r="B4">
        <v>1606</v>
      </c>
    </row>
    <row r="5" spans="1:2" x14ac:dyDescent="0.2">
      <c r="A5" t="s">
        <v>3</v>
      </c>
      <c r="B5">
        <v>1687.5</v>
      </c>
    </row>
    <row r="6" spans="1:2" x14ac:dyDescent="0.2">
      <c r="A6" t="s">
        <v>4</v>
      </c>
      <c r="B6">
        <v>5.3533333333333326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1439.8035416666669</v>
      </c>
    </row>
    <row r="3" spans="1:2" x14ac:dyDescent="0.2">
      <c r="A3" t="s">
        <v>1</v>
      </c>
      <c r="B3">
        <v>2516</v>
      </c>
    </row>
    <row r="4" spans="1:2" x14ac:dyDescent="0.2">
      <c r="A4" t="s">
        <v>2</v>
      </c>
      <c r="B4">
        <v>1865.5</v>
      </c>
    </row>
    <row r="5" spans="1:2" x14ac:dyDescent="0.2">
      <c r="A5" t="s">
        <v>3</v>
      </c>
      <c r="B5">
        <v>2783.53125</v>
      </c>
    </row>
    <row r="6" spans="1:2" x14ac:dyDescent="0.2">
      <c r="A6" t="s">
        <v>4</v>
      </c>
      <c r="B6">
        <v>6.2183333333333346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1133.059953703704</v>
      </c>
    </row>
    <row r="3" spans="1:2" x14ac:dyDescent="0.2">
      <c r="A3" t="s">
        <v>1</v>
      </c>
      <c r="B3">
        <v>2021</v>
      </c>
    </row>
    <row r="4" spans="1:2" x14ac:dyDescent="0.2">
      <c r="A4" t="s">
        <v>2</v>
      </c>
      <c r="B4">
        <v>1339.930555555555</v>
      </c>
    </row>
    <row r="5" spans="1:2" x14ac:dyDescent="0.2">
      <c r="A5" t="s">
        <v>3</v>
      </c>
      <c r="B5">
        <v>2079.5625</v>
      </c>
    </row>
    <row r="6" spans="1:2" x14ac:dyDescent="0.2">
      <c r="A6" t="s">
        <v>4</v>
      </c>
      <c r="B6">
        <v>4.4664351851851771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942.07708333333403</v>
      </c>
    </row>
    <row r="3" spans="1:2" x14ac:dyDescent="0.2">
      <c r="A3" t="s">
        <v>1</v>
      </c>
      <c r="B3">
        <v>1142</v>
      </c>
    </row>
    <row r="4" spans="1:2" x14ac:dyDescent="0.2">
      <c r="A4" t="s">
        <v>2</v>
      </c>
      <c r="B4">
        <v>2806.2500000000018</v>
      </c>
    </row>
    <row r="5" spans="1:2" x14ac:dyDescent="0.2">
      <c r="A5" t="s">
        <v>3</v>
      </c>
      <c r="B5">
        <v>3211.3125</v>
      </c>
    </row>
    <row r="6" spans="1:2" x14ac:dyDescent="0.2">
      <c r="A6" t="s">
        <v>4</v>
      </c>
      <c r="B6">
        <v>9.3541666666666696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2666.25</v>
      </c>
    </row>
    <row r="3" spans="1:2" x14ac:dyDescent="0.2">
      <c r="A3" t="s">
        <v>1</v>
      </c>
      <c r="B3">
        <v>5760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2137.5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16</v>
      </c>
    </row>
    <row r="2" spans="1:2" x14ac:dyDescent="0.2">
      <c r="A2" t="s">
        <v>0</v>
      </c>
      <c r="B2">
        <v>1021.094583333333</v>
      </c>
    </row>
    <row r="3" spans="1:2" x14ac:dyDescent="0.2">
      <c r="A3" t="s">
        <v>1</v>
      </c>
      <c r="B3">
        <v>1627</v>
      </c>
    </row>
    <row r="4" spans="1:2" x14ac:dyDescent="0.2">
      <c r="A4" t="s">
        <v>2</v>
      </c>
      <c r="B4">
        <v>1811</v>
      </c>
    </row>
    <row r="5" spans="1:2" x14ac:dyDescent="0.2">
      <c r="A5" t="s">
        <v>3</v>
      </c>
      <c r="B5">
        <v>2391.1875</v>
      </c>
    </row>
    <row r="6" spans="1:2" x14ac:dyDescent="0.2">
      <c r="A6" t="s">
        <v>4</v>
      </c>
      <c r="B6">
        <v>6.036666666666668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Summary</vt:lpstr>
      <vt:lpstr>S1.1</vt:lpstr>
      <vt:lpstr>S1.2</vt:lpstr>
      <vt:lpstr>S2.1</vt:lpstr>
      <vt:lpstr>S2.2</vt:lpstr>
      <vt:lpstr>S3.1</vt:lpstr>
      <vt:lpstr>S3.2</vt:lpstr>
      <vt:lpstr>S4.1</vt:lpstr>
      <vt:lpstr>S4.2</vt:lpstr>
      <vt:lpstr>S5.1</vt:lpstr>
      <vt:lpstr>S5.2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2025-02-14T14:52:29Z</dcterms:created>
  <dcterms:modified xsi:type="dcterms:W3CDTF">2025-02-14T22:56:09Z</dcterms:modified>
</cp:coreProperties>
</file>