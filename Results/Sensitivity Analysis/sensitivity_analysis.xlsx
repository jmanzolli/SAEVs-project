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omanzolli/Documents/GitHub/SAEVs/"/>
    </mc:Choice>
  </mc:AlternateContent>
  <xr:revisionPtr revIDLastSave="0" documentId="13_ncr:1_{2FF4C211-F2F0-CF41-A15B-666E9A4AC6E0}" xr6:coauthVersionLast="47" xr6:coauthVersionMax="47" xr10:uidLastSave="{00000000-0000-0000-0000-000000000000}"/>
  <bookViews>
    <workbookView xWindow="-20" yWindow="880" windowWidth="36000" windowHeight="22500" activeTab="1" xr2:uid="{689E7613-DC92-6645-B1B6-5556FD5BF14F}"/>
  </bookViews>
  <sheets>
    <sheet name="Transportation" sheetId="1" r:id="rId1"/>
    <sheet name="Energy" sheetId="2" r:id="rId2"/>
  </sheets>
  <definedNames>
    <definedName name="_xlchart.v1.0" hidden="1">Energy!$A$10</definedName>
    <definedName name="_xlchart.v1.1" hidden="1">Energy!$A$11</definedName>
    <definedName name="_xlchart.v1.10" hidden="1">Energy!$A$11</definedName>
    <definedName name="_xlchart.v1.11" hidden="1">Energy!$A$12</definedName>
    <definedName name="_xlchart.v1.12" hidden="1">Energy!$A$13</definedName>
    <definedName name="_xlchart.v1.13" hidden="1">Energy!$B$10:$K$10</definedName>
    <definedName name="_xlchart.v1.14" hidden="1">Energy!$B$11:$K$11</definedName>
    <definedName name="_xlchart.v1.15" hidden="1">Energy!$B$12:$K$12</definedName>
    <definedName name="_xlchart.v1.16" hidden="1">Energy!$B$13:$K$13</definedName>
    <definedName name="_xlchart.v1.17" hidden="1">Energy!$B$9:$K$9</definedName>
    <definedName name="_xlchart.v1.18" hidden="1">Energy!$A$10</definedName>
    <definedName name="_xlchart.v1.19" hidden="1">Energy!$A$11</definedName>
    <definedName name="_xlchart.v1.2" hidden="1">Energy!$A$12</definedName>
    <definedName name="_xlchart.v1.20" hidden="1">Energy!$A$12</definedName>
    <definedName name="_xlchart.v1.21" hidden="1">Energy!$A$13</definedName>
    <definedName name="_xlchart.v1.22" hidden="1">Energy!$B$10:$K$10</definedName>
    <definedName name="_xlchart.v1.23" hidden="1">Energy!$B$11:$K$11</definedName>
    <definedName name="_xlchart.v1.24" hidden="1">Energy!$B$12:$K$12</definedName>
    <definedName name="_xlchart.v1.25" hidden="1">Energy!$B$13:$K$13</definedName>
    <definedName name="_xlchart.v1.26" hidden="1">Energy!$B$9:$K$9</definedName>
    <definedName name="_xlchart.v1.27" hidden="1">Energy!$A$10</definedName>
    <definedName name="_xlchart.v1.28" hidden="1">Energy!$A$11</definedName>
    <definedName name="_xlchart.v1.29" hidden="1">Energy!$A$12</definedName>
    <definedName name="_xlchart.v1.3" hidden="1">Energy!$A$13</definedName>
    <definedName name="_xlchart.v1.30" hidden="1">Energy!$A$13</definedName>
    <definedName name="_xlchart.v1.31" hidden="1">Energy!$B$10:$K$10</definedName>
    <definedName name="_xlchart.v1.32" hidden="1">Energy!$B$11:$K$11</definedName>
    <definedName name="_xlchart.v1.33" hidden="1">Energy!$B$12:$K$12</definedName>
    <definedName name="_xlchart.v1.34" hidden="1">Energy!$B$13:$K$13</definedName>
    <definedName name="_xlchart.v1.35" hidden="1">Energy!$B$9:$K$9</definedName>
    <definedName name="_xlchart.v1.36" hidden="1">Energy!$A$10</definedName>
    <definedName name="_xlchart.v1.37" hidden="1">Energy!$A$11</definedName>
    <definedName name="_xlchart.v1.38" hidden="1">Energy!$A$12</definedName>
    <definedName name="_xlchart.v1.39" hidden="1">Energy!$A$13</definedName>
    <definedName name="_xlchart.v1.4" hidden="1">Energy!$B$10:$K$10</definedName>
    <definedName name="_xlchart.v1.40" hidden="1">Energy!$B$10:$K$10</definedName>
    <definedName name="_xlchart.v1.41" hidden="1">Energy!$B$11:$K$11</definedName>
    <definedName name="_xlchart.v1.42" hidden="1">Energy!$B$12:$K$12</definedName>
    <definedName name="_xlchart.v1.43" hidden="1">Energy!$B$13:$K$13</definedName>
    <definedName name="_xlchart.v1.44" hidden="1">Energy!$B$9:$K$9</definedName>
    <definedName name="_xlchart.v1.45" hidden="1">Energy!$A$10</definedName>
    <definedName name="_xlchart.v1.46" hidden="1">Energy!$A$11</definedName>
    <definedName name="_xlchart.v1.47" hidden="1">Energy!$A$12</definedName>
    <definedName name="_xlchart.v1.48" hidden="1">Energy!$A$13</definedName>
    <definedName name="_xlchart.v1.49" hidden="1">Energy!$B$10:$K$10</definedName>
    <definedName name="_xlchart.v1.5" hidden="1">Energy!$B$11:$K$11</definedName>
    <definedName name="_xlchart.v1.50" hidden="1">Energy!$B$11:$K$11</definedName>
    <definedName name="_xlchart.v1.51" hidden="1">Energy!$B$12:$K$12</definedName>
    <definedName name="_xlchart.v1.52" hidden="1">Energy!$B$13:$K$13</definedName>
    <definedName name="_xlchart.v1.53" hidden="1">Energy!$B$9:$K$9</definedName>
    <definedName name="_xlchart.v1.54" hidden="1">Energy!$A$10</definedName>
    <definedName name="_xlchart.v1.55" hidden="1">Energy!$A$11</definedName>
    <definedName name="_xlchart.v1.56" hidden="1">Energy!$A$12</definedName>
    <definedName name="_xlchart.v1.57" hidden="1">Energy!$A$13</definedName>
    <definedName name="_xlchart.v1.58" hidden="1">Energy!$B$10:$K$10</definedName>
    <definedName name="_xlchart.v1.59" hidden="1">Energy!$B$11:$K$11</definedName>
    <definedName name="_xlchart.v1.6" hidden="1">Energy!$B$12:$K$12</definedName>
    <definedName name="_xlchart.v1.60" hidden="1">Energy!$B$12:$K$12</definedName>
    <definedName name="_xlchart.v1.61" hidden="1">Energy!$B$13:$K$13</definedName>
    <definedName name="_xlchart.v1.62" hidden="1">Energy!$B$9:$K$9</definedName>
    <definedName name="_xlchart.v1.63" hidden="1">Energy!$A$10</definedName>
    <definedName name="_xlchart.v1.64" hidden="1">Energy!$A$11</definedName>
    <definedName name="_xlchart.v1.65" hidden="1">Energy!$A$12</definedName>
    <definedName name="_xlchart.v1.66" hidden="1">Energy!$A$13</definedName>
    <definedName name="_xlchart.v1.67" hidden="1">Energy!$B$10:$K$10</definedName>
    <definedName name="_xlchart.v1.68" hidden="1">Energy!$B$11:$K$11</definedName>
    <definedName name="_xlchart.v1.69" hidden="1">Energy!$B$12:$K$12</definedName>
    <definedName name="_xlchart.v1.7" hidden="1">Energy!$B$13:$K$13</definedName>
    <definedName name="_xlchart.v1.70" hidden="1">Energy!$B$13:$K$13</definedName>
    <definedName name="_xlchart.v1.71" hidden="1">Energy!$B$9:$K$9</definedName>
    <definedName name="_xlchart.v1.8" hidden="1">Energy!$B$9:$K$9</definedName>
    <definedName name="_xlchart.v1.9" hidden="1">Energy!$A$10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2" l="1" a="1"/>
  <c r="K20" i="2" s="1"/>
  <c r="K14" i="2"/>
  <c r="K13" i="2"/>
  <c r="K12" i="2"/>
  <c r="K11" i="2"/>
  <c r="G9" i="1"/>
  <c r="H8" i="1"/>
  <c r="B7" i="1"/>
  <c r="C14" i="2"/>
  <c r="D14" i="2"/>
  <c r="E14" i="2"/>
  <c r="F14" i="2"/>
  <c r="G14" i="2"/>
  <c r="H14" i="2"/>
  <c r="I14" i="2"/>
  <c r="J14" i="2"/>
  <c r="B14" i="2"/>
  <c r="C13" i="2"/>
  <c r="D13" i="2"/>
  <c r="E13" i="2"/>
  <c r="F13" i="2"/>
  <c r="G13" i="2"/>
  <c r="H13" i="2"/>
  <c r="I13" i="2"/>
  <c r="J13" i="2"/>
  <c r="B13" i="2"/>
  <c r="C12" i="2"/>
  <c r="D12" i="2"/>
  <c r="E12" i="2"/>
  <c r="F12" i="2"/>
  <c r="G12" i="2"/>
  <c r="H12" i="2"/>
  <c r="I12" i="2"/>
  <c r="J12" i="2"/>
  <c r="B12" i="2"/>
  <c r="C11" i="2"/>
  <c r="D11" i="2"/>
  <c r="E11" i="2"/>
  <c r="F11" i="2"/>
  <c r="G11" i="2"/>
  <c r="H11" i="2"/>
  <c r="I11" i="2"/>
  <c r="J11" i="2"/>
  <c r="B11" i="2"/>
  <c r="M3" i="2"/>
  <c r="M4" i="2"/>
  <c r="M5" i="2"/>
  <c r="M6" i="2"/>
  <c r="D10" i="2" l="1"/>
  <c r="E10" i="2"/>
  <c r="M2" i="2"/>
  <c r="F10" i="2"/>
  <c r="G10" i="2"/>
  <c r="H10" i="2"/>
  <c r="I10" i="2"/>
  <c r="J10" i="2"/>
  <c r="C10" i="2"/>
  <c r="B10" i="2"/>
  <c r="K10" i="2"/>
  <c r="K28" i="1" a="1"/>
  <c r="K28" i="1" s="1"/>
  <c r="F7" i="1"/>
  <c r="E8" i="1"/>
  <c r="D9" i="1"/>
  <c r="G8" i="1"/>
  <c r="E9" i="1"/>
  <c r="I2" i="1"/>
  <c r="C8" i="1"/>
  <c r="I3" i="1"/>
  <c r="B8" i="1"/>
  <c r="H9" i="1"/>
  <c r="H7" i="1"/>
  <c r="F9" i="1"/>
  <c r="G7" i="1"/>
  <c r="F8" i="1"/>
  <c r="E7" i="1"/>
  <c r="D8" i="1"/>
  <c r="C9" i="1"/>
  <c r="D7" i="1"/>
  <c r="I4" i="1"/>
  <c r="C7" i="1"/>
  <c r="B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<sst xmlns="http://schemas.openxmlformats.org/spreadsheetml/2006/main" count="70" uniqueCount="30">
  <si>
    <t>Revenues [CAD$]</t>
  </si>
  <si>
    <t>Number of passengers</t>
  </si>
  <si>
    <t>Energy charged [kWh]</t>
  </si>
  <si>
    <t>Baseline</t>
  </si>
  <si>
    <t>Degradation cots [CAS$]</t>
  </si>
  <si>
    <t>Energy provided [kWh]</t>
  </si>
  <si>
    <t>S1.1 (80 vehicles)</t>
  </si>
  <si>
    <t>S1.2 (120 vehicles)</t>
  </si>
  <si>
    <t>S2.1 (60 kWh)</t>
  </si>
  <si>
    <t>S3.1 (5 kW)</t>
  </si>
  <si>
    <t>S3.2 (15kW)</t>
  </si>
  <si>
    <t>S4.1 (10 kW)</t>
  </si>
  <si>
    <t>S4.2 (15 kW)</t>
  </si>
  <si>
    <t>Bigger</t>
  </si>
  <si>
    <t>S2.2 (100 kWh)</t>
  </si>
  <si>
    <t>S5.1 (0.2 CAD$)</t>
  </si>
  <si>
    <t>S5.2 (0.6 CAD$)</t>
  </si>
  <si>
    <t>Sc.</t>
  </si>
  <si>
    <t>Degradation costs [CAD$]</t>
  </si>
  <si>
    <t>Base</t>
  </si>
  <si>
    <t>S1.1</t>
  </si>
  <si>
    <t>S1.2</t>
  </si>
  <si>
    <t>S2.1</t>
  </si>
  <si>
    <t>S2.2</t>
  </si>
  <si>
    <t>S3.1</t>
  </si>
  <si>
    <t>S3.2</t>
  </si>
  <si>
    <t>S4.1</t>
  </si>
  <si>
    <t>S4.2</t>
  </si>
  <si>
    <t>S5.1</t>
  </si>
  <si>
    <t>S5.2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</si>
</sst>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0" fillId="0" borderId="0" xfId="0" applyNumberFormat="1"/>
    <xf numFmtId="0" fontId="4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4" borderId="3" xfId="0" applyFill="1" applyBorder="1"/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4" borderId="1" xfId="0" applyFill="1" applyBorder="1"/>
    <xf numFmtId="0" fontId="4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right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4" fontId="7" fillId="0" borderId="6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0D667"/>
      <color rgb="FF4EC0E8"/>
      <color rgb="FFAD92EC"/>
      <color rgb="FFEE5464"/>
      <color rgb="FFFFCF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Transportation!$A$2</c:f>
              <c:strCache>
                <c:ptCount val="1"/>
                <c:pt idx="0">
                  <c:v>Revenues [CAD$]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Transportation!$B$1:$H$1</c:f>
              <c:strCache>
                <c:ptCount val="7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</c:strCache>
            </c:strRef>
          </c:cat>
          <c:val>
            <c:numRef>
              <c:f>Transportation!$B$2:$H$2</c:f>
              <c:numCache>
                <c:formatCode>General</c:formatCode>
                <c:ptCount val="7"/>
                <c:pt idx="0">
                  <c:v>2667.25</c:v>
                </c:pt>
                <c:pt idx="1">
                  <c:v>2143.6687499999998</c:v>
                </c:pt>
                <c:pt idx="2">
                  <c:v>2773.5437499999998</c:v>
                </c:pt>
                <c:pt idx="3">
                  <c:v>2666.75</c:v>
                </c:pt>
                <c:pt idx="4">
                  <c:v>2686.25</c:v>
                </c:pt>
                <c:pt idx="5">
                  <c:v>1895.4625000000001</c:v>
                </c:pt>
                <c:pt idx="6">
                  <c:v>2772.3343749999999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F-A64B-BC51-35A15D85A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049967"/>
        <c:axId val="1434051679"/>
      </c:barChart>
      <c:catAx>
        <c:axId val="143404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34051679"/>
        <c:crosses val="autoZero"/>
        <c:auto val="1"/>
        <c:lblAlgn val="ctr"/>
        <c:lblOffset val="100"/>
        <c:noMultiLvlLbl val="0"/>
      </c:catAx>
      <c:valAx>
        <c:axId val="143405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3404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Transportation!$A$7</c:f>
              <c:strCache>
                <c:ptCount val="1"/>
                <c:pt idx="0">
                  <c:v>Revenues [CAD$]</c:v>
                </c:pt>
              </c:strCache>
            </c:strRef>
          </c:tx>
          <c:spPr>
            <a:ln w="34925" cap="rnd" cmpd="dbl">
              <a:solidFill>
                <a:srgbClr val="AD92EC"/>
              </a:solidFill>
              <a:round/>
            </a:ln>
            <a:effectLst/>
          </c:spPr>
          <c:marker>
            <c:symbol val="none"/>
          </c:marker>
          <c:cat>
            <c:strRef>
              <c:f>Transportation!$B$6:$H$6</c:f>
              <c:strCache>
                <c:ptCount val="7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</c:strCache>
            </c:strRef>
          </c:cat>
          <c:val>
            <c:numRef>
              <c:f>Transportation!$B$7:$H$7</c:f>
              <c:numCache>
                <c:formatCode>General</c:formatCode>
                <c:ptCount val="7"/>
                <c:pt idx="0">
                  <c:v>1</c:v>
                </c:pt>
                <c:pt idx="1">
                  <c:v>0.80369997188115094</c:v>
                </c:pt>
                <c:pt idx="2">
                  <c:v>1.0398514387477737</c:v>
                </c:pt>
                <c:pt idx="3">
                  <c:v>0.99981254100665484</c:v>
                </c:pt>
                <c:pt idx="4">
                  <c:v>1.0071234417471178</c:v>
                </c:pt>
                <c:pt idx="5">
                  <c:v>0.7106429843471741</c:v>
                </c:pt>
                <c:pt idx="6">
                  <c:v>1.0393980223076202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2-234A-96E7-6D5AAF31F10A}"/>
            </c:ext>
          </c:extLst>
        </c:ser>
        <c:ser>
          <c:idx val="1"/>
          <c:order val="1"/>
          <c:tx>
            <c:strRef>
              <c:f>Transportation!$A$8</c:f>
              <c:strCache>
                <c:ptCount val="1"/>
                <c:pt idx="0">
                  <c:v>Number of passengers</c:v>
                </c:pt>
              </c:strCache>
            </c:strRef>
          </c:tx>
          <c:spPr>
            <a:ln w="12700" cap="rnd">
              <a:solidFill>
                <a:srgbClr val="4EC0E8"/>
              </a:solidFill>
              <a:round/>
            </a:ln>
            <a:effectLst/>
          </c:spPr>
          <c:marker>
            <c:symbol val="none"/>
          </c:marker>
          <c:cat>
            <c:strRef>
              <c:f>Transportation!$B$6:$H$6</c:f>
              <c:strCache>
                <c:ptCount val="7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</c:strCache>
            </c:strRef>
          </c:cat>
          <c:val>
            <c:numRef>
              <c:f>Transportation!$B$8:$H$8</c:f>
              <c:numCache>
                <c:formatCode>General</c:formatCode>
                <c:ptCount val="7"/>
                <c:pt idx="0">
                  <c:v>1</c:v>
                </c:pt>
                <c:pt idx="1">
                  <c:v>0.80336688649774379</c:v>
                </c:pt>
                <c:pt idx="2">
                  <c:v>1.0395695938910101</c:v>
                </c:pt>
                <c:pt idx="3">
                  <c:v>0.99982644914960084</c:v>
                </c:pt>
                <c:pt idx="4">
                  <c:v>1.0065949323151684</c:v>
                </c:pt>
                <c:pt idx="5">
                  <c:v>0.71051718153418952</c:v>
                </c:pt>
                <c:pt idx="6">
                  <c:v>1.0395695938910101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2-234A-96E7-6D5AAF31F10A}"/>
            </c:ext>
          </c:extLst>
        </c:ser>
        <c:ser>
          <c:idx val="2"/>
          <c:order val="2"/>
          <c:tx>
            <c:strRef>
              <c:f>Transportation!$A$9</c:f>
              <c:strCache>
                <c:ptCount val="1"/>
                <c:pt idx="0">
                  <c:v>Energy charged [kWh]</c:v>
                </c:pt>
              </c:strCache>
            </c:strRef>
          </c:tx>
          <c:spPr>
            <a:ln w="12700" cap="rnd">
              <a:solidFill>
                <a:srgbClr val="A0D667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Transportation!$B$6:$H$6</c:f>
              <c:strCache>
                <c:ptCount val="7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</c:strCache>
            </c:strRef>
          </c:cat>
          <c:val>
            <c:numRef>
              <c:f>Transportation!$B$9:$H$9</c:f>
              <c:numCache>
                <c:formatCode>General</c:formatCode>
                <c:ptCount val="7"/>
                <c:pt idx="0">
                  <c:v>1</c:v>
                </c:pt>
                <c:pt idx="1">
                  <c:v>0.79921052631578948</c:v>
                </c:pt>
                <c:pt idx="2">
                  <c:v>1.0360526315789473</c:v>
                </c:pt>
                <c:pt idx="3">
                  <c:v>1</c:v>
                </c:pt>
                <c:pt idx="4">
                  <c:v>1</c:v>
                </c:pt>
                <c:pt idx="5">
                  <c:v>0.70894736842105266</c:v>
                </c:pt>
                <c:pt idx="6">
                  <c:v>1.0417105263157895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C2-234A-96E7-6D5AAF31F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1404191"/>
        <c:axId val="1711441983"/>
      </c:radarChart>
      <c:catAx>
        <c:axId val="171140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11441983"/>
        <c:crosses val="autoZero"/>
        <c:auto val="1"/>
        <c:lblAlgn val="ctr"/>
        <c:lblOffset val="100"/>
        <c:noMultiLvlLbl val="0"/>
      </c:catAx>
      <c:valAx>
        <c:axId val="1711441983"/>
        <c:scaling>
          <c:orientation val="minMax"/>
          <c:max val="1.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1140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Energy!$A$6</c:f>
              <c:strCache>
                <c:ptCount val="1"/>
                <c:pt idx="0">
                  <c:v>Degradation cots [CAS$]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Energy!$B$1:$L$1</c:f>
              <c:strCache>
                <c:ptCount val="11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  <c:pt idx="7">
                  <c:v>S4.1 (10 kW)</c:v>
                </c:pt>
                <c:pt idx="8">
                  <c:v>S4.2 (15 kW)</c:v>
                </c:pt>
                <c:pt idx="9">
                  <c:v>S5.1 (0.2 CAD$)</c:v>
                </c:pt>
                <c:pt idx="10">
                  <c:v>S5.2 (0.6 CAD$)</c:v>
                </c:pt>
              </c:strCache>
            </c:strRef>
          </c:cat>
          <c:val>
            <c:numRef>
              <c:f>Energy!$B$6:$L$6</c:f>
              <c:numCache>
                <c:formatCode>General</c:formatCode>
                <c:ptCount val="11"/>
                <c:pt idx="0">
                  <c:v>6.03</c:v>
                </c:pt>
                <c:pt idx="1">
                  <c:v>4.93</c:v>
                </c:pt>
                <c:pt idx="2">
                  <c:v>7.1</c:v>
                </c:pt>
                <c:pt idx="3">
                  <c:v>6.04</c:v>
                </c:pt>
                <c:pt idx="4">
                  <c:v>6.04</c:v>
                </c:pt>
                <c:pt idx="5">
                  <c:v>5.35</c:v>
                </c:pt>
                <c:pt idx="6">
                  <c:v>6.22</c:v>
                </c:pt>
                <c:pt idx="7">
                  <c:v>4.47</c:v>
                </c:pt>
                <c:pt idx="8">
                  <c:v>9.35</c:v>
                </c:pt>
                <c:pt idx="9">
                  <c:v>0</c:v>
                </c:pt>
                <c:pt idx="10">
                  <c:v>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B-014B-99F9-378614C19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55264"/>
        <c:axId val="168379472"/>
      </c:barChart>
      <c:catAx>
        <c:axId val="16835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8379472"/>
        <c:crosses val="autoZero"/>
        <c:auto val="1"/>
        <c:lblAlgn val="ctr"/>
        <c:lblOffset val="100"/>
        <c:noMultiLvlLbl val="0"/>
      </c:catAx>
      <c:valAx>
        <c:axId val="16837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835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599662933959269"/>
          <c:y val="6.6320905252615817E-2"/>
          <c:w val="0.55652335930528318"/>
          <c:h val="0.86735804531136473"/>
        </c:manualLayout>
      </c:layout>
      <c:radarChart>
        <c:radarStyle val="filled"/>
        <c:varyColors val="0"/>
        <c:ser>
          <c:idx val="0"/>
          <c:order val="0"/>
          <c:tx>
            <c:strRef>
              <c:f>Energy!$A$10</c:f>
              <c:strCache>
                <c:ptCount val="1"/>
                <c:pt idx="0">
                  <c:v>Revenues [CAD$]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  <a:alpha val="50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</c:spPr>
          <c:cat>
            <c:strRef>
              <c:f>Energy!$B$9:$K$9</c:f>
              <c:strCache>
                <c:ptCount val="10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  <c:pt idx="7">
                  <c:v>S4.1 (10 kW)</c:v>
                </c:pt>
                <c:pt idx="8">
                  <c:v>S4.2 (15 kW)</c:v>
                </c:pt>
                <c:pt idx="9">
                  <c:v>S5.2 (0.6 CAD$)</c:v>
                </c:pt>
              </c:strCache>
            </c:strRef>
          </c:cat>
          <c:val>
            <c:numRef>
              <c:f>Energy!$B$10:$K$10</c:f>
              <c:numCache>
                <c:formatCode>General</c:formatCode>
                <c:ptCount val="10"/>
                <c:pt idx="0">
                  <c:v>1</c:v>
                </c:pt>
                <c:pt idx="1">
                  <c:v>0.8249860238745107</c:v>
                </c:pt>
                <c:pt idx="2">
                  <c:v>1.2232299648130487</c:v>
                </c:pt>
                <c:pt idx="3">
                  <c:v>1.0258837844059325</c:v>
                </c:pt>
                <c:pt idx="4">
                  <c:v>1.0264033674241178</c:v>
                </c:pt>
                <c:pt idx="5">
                  <c:v>0.7759051596566805</c:v>
                </c:pt>
                <c:pt idx="6">
                  <c:v>1.1497484297411951</c:v>
                </c:pt>
                <c:pt idx="7">
                  <c:v>0.85043243776513522</c:v>
                </c:pt>
                <c:pt idx="8">
                  <c:v>1.4233845243184582</c:v>
                </c:pt>
                <c:pt idx="9">
                  <c:v>1.3803117498109112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3-FC49-9E65-ADB1D23CBFA6}"/>
            </c:ext>
          </c:extLst>
        </c:ser>
        <c:ser>
          <c:idx val="1"/>
          <c:order val="1"/>
          <c:tx>
            <c:strRef>
              <c:f>Energy!$A$11</c:f>
              <c:strCache>
                <c:ptCount val="1"/>
                <c:pt idx="0">
                  <c:v>Number of passengers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  <a:alpha val="48000"/>
              </a:schemeClr>
            </a:solidFill>
            <a:ln w="12700">
              <a:solidFill>
                <a:schemeClr val="accent2">
                  <a:lumMod val="50000"/>
                </a:schemeClr>
              </a:solidFill>
            </a:ln>
            <a:effectLst/>
          </c:spPr>
          <c:cat>
            <c:strRef>
              <c:f>Energy!$B$9:$K$9</c:f>
              <c:strCache>
                <c:ptCount val="10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  <c:pt idx="7">
                  <c:v>S4.1 (10 kW)</c:v>
                </c:pt>
                <c:pt idx="8">
                  <c:v>S4.2 (15 kW)</c:v>
                </c:pt>
                <c:pt idx="9">
                  <c:v>S5.2 (0.6 CAD$)</c:v>
                </c:pt>
              </c:strCache>
            </c:strRef>
          </c:cat>
          <c:val>
            <c:numRef>
              <c:f>Energy!$B$11:$K$11</c:f>
              <c:numCache>
                <c:formatCode>General</c:formatCode>
                <c:ptCount val="10"/>
                <c:pt idx="0">
                  <c:v>1</c:v>
                </c:pt>
                <c:pt idx="1">
                  <c:v>0.80012853470437018</c:v>
                </c:pt>
                <c:pt idx="2">
                  <c:v>1.3438303341902313</c:v>
                </c:pt>
                <c:pt idx="3">
                  <c:v>1.0636246786632391</c:v>
                </c:pt>
                <c:pt idx="4">
                  <c:v>1.0694087403598971</c:v>
                </c:pt>
                <c:pt idx="5">
                  <c:v>0.19151670951156813</c:v>
                </c:pt>
                <c:pt idx="6">
                  <c:v>1.6169665809768639</c:v>
                </c:pt>
                <c:pt idx="7">
                  <c:v>1.2988431876606683</c:v>
                </c:pt>
                <c:pt idx="8">
                  <c:v>0.73393316195372749</c:v>
                </c:pt>
                <c:pt idx="9">
                  <c:v>1.0456298200514138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63-FC49-9E65-ADB1D23CBFA6}"/>
            </c:ext>
          </c:extLst>
        </c:ser>
        <c:ser>
          <c:idx val="2"/>
          <c:order val="2"/>
          <c:tx>
            <c:strRef>
              <c:f>Energy!$A$12</c:f>
              <c:strCache>
                <c:ptCount val="1"/>
                <c:pt idx="0">
                  <c:v>Energy provided [kWh]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  <a:alpha val="50500"/>
              </a:schemeClr>
            </a:solidFill>
            <a:ln w="12700">
              <a:solidFill>
                <a:schemeClr val="accent3">
                  <a:lumMod val="50000"/>
                </a:schemeClr>
              </a:solidFill>
            </a:ln>
            <a:effectLst/>
          </c:spPr>
          <c:cat>
            <c:strRef>
              <c:f>Energy!$B$9:$K$9</c:f>
              <c:strCache>
                <c:ptCount val="10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  <c:pt idx="7">
                  <c:v>S4.1 (10 kW)</c:v>
                </c:pt>
                <c:pt idx="8">
                  <c:v>S4.2 (15 kW)</c:v>
                </c:pt>
                <c:pt idx="9">
                  <c:v>S5.2 (0.6 CAD$)</c:v>
                </c:pt>
              </c:strCache>
            </c:strRef>
          </c:cat>
          <c:val>
            <c:numRef>
              <c:f>Energy!$B$12:$K$12</c:f>
              <c:numCache>
                <c:formatCode>General</c:formatCode>
                <c:ptCount val="10"/>
                <c:pt idx="0">
                  <c:v>1</c:v>
                </c:pt>
                <c:pt idx="1">
                  <c:v>0.81652390163028465</c:v>
                </c:pt>
                <c:pt idx="2">
                  <c:v>1.1776733904393479</c:v>
                </c:pt>
                <c:pt idx="3">
                  <c:v>1.0011052777010223</c:v>
                </c:pt>
                <c:pt idx="4">
                  <c:v>1.0008289582757668</c:v>
                </c:pt>
                <c:pt idx="5">
                  <c:v>0.88753799392097266</c:v>
                </c:pt>
                <c:pt idx="6">
                  <c:v>1.0309477756286267</c:v>
                </c:pt>
                <c:pt idx="7">
                  <c:v>0.74049737496546009</c:v>
                </c:pt>
                <c:pt idx="8">
                  <c:v>1.5508427742470297</c:v>
                </c:pt>
                <c:pt idx="9">
                  <c:v>1.0008289582757668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63-FC49-9E65-ADB1D23CBFA6}"/>
            </c:ext>
          </c:extLst>
        </c:ser>
        <c:ser>
          <c:idx val="3"/>
          <c:order val="3"/>
          <c:tx>
            <c:strRef>
              <c:f>Energy!$A$13</c:f>
              <c:strCache>
                <c:ptCount val="1"/>
                <c:pt idx="0">
                  <c:v>Energy charged [kWh]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  <a:alpha val="49773"/>
              </a:schemeClr>
            </a:solidFill>
            <a:ln w="12700">
              <a:solidFill>
                <a:schemeClr val="accent1">
                  <a:lumMod val="50000"/>
                </a:schemeClr>
              </a:solidFill>
            </a:ln>
            <a:effectLst/>
          </c:spPr>
          <c:cat>
            <c:strRef>
              <c:f>Energy!$B$9:$K$9</c:f>
              <c:strCache>
                <c:ptCount val="10"/>
                <c:pt idx="0">
                  <c:v>Baseline</c:v>
                </c:pt>
                <c:pt idx="1">
                  <c:v>S1.1 (80 vehicles)</c:v>
                </c:pt>
                <c:pt idx="2">
                  <c:v>S1.2 (120 vehicles)</c:v>
                </c:pt>
                <c:pt idx="3">
                  <c:v>S2.1 (60 kWh)</c:v>
                </c:pt>
                <c:pt idx="4">
                  <c:v>S2.2 (100 kWh)</c:v>
                </c:pt>
                <c:pt idx="5">
                  <c:v>S3.1 (5 kW)</c:v>
                </c:pt>
                <c:pt idx="6">
                  <c:v>S3.2 (15kW)</c:v>
                </c:pt>
                <c:pt idx="7">
                  <c:v>S4.1 (10 kW)</c:v>
                </c:pt>
                <c:pt idx="8">
                  <c:v>S4.2 (15 kW)</c:v>
                </c:pt>
                <c:pt idx="9">
                  <c:v>S5.2 (0.6 CAD$)</c:v>
                </c:pt>
              </c:strCache>
            </c:strRef>
          </c:cat>
          <c:val>
            <c:numRef>
              <c:f>Energy!$B$13:$K$13</c:f>
              <c:numCache>
                <c:formatCode>General</c:formatCode>
                <c:ptCount val="10"/>
                <c:pt idx="0">
                  <c:v>1</c:v>
                </c:pt>
                <c:pt idx="1">
                  <c:v>0.7775500910746812</c:v>
                </c:pt>
                <c:pt idx="2">
                  <c:v>1.1682604735883424</c:v>
                </c:pt>
                <c:pt idx="3">
                  <c:v>0.97404371584699456</c:v>
                </c:pt>
                <c:pt idx="4">
                  <c:v>0.97609289617486339</c:v>
                </c:pt>
                <c:pt idx="5">
                  <c:v>0.68306010928961747</c:v>
                </c:pt>
                <c:pt idx="6">
                  <c:v>1.1267081562436754</c:v>
                </c:pt>
                <c:pt idx="7">
                  <c:v>0.84175774134790526</c:v>
                </c:pt>
                <c:pt idx="8">
                  <c:v>1.299863387978142</c:v>
                </c:pt>
                <c:pt idx="9">
                  <c:v>0.96789617486338797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6-E742-A4BF-9A74D12BF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944992"/>
        <c:axId val="1567154287"/>
      </c:radarChart>
      <c:catAx>
        <c:axId val="196794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567154287"/>
        <c:crosses val="autoZero"/>
        <c:auto val="1"/>
        <c:lblAlgn val="ctr"/>
        <c:lblOffset val="100"/>
        <c:noMultiLvlLbl val="0"/>
      </c:catAx>
      <c:valAx>
        <c:axId val="1567154287"/>
        <c:scaling>
          <c:orientation val="minMax"/>
          <c:max val="1.6"/>
          <c:min val="0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679449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40013463182534"/>
          <c:y val="3.3824128833061719E-2"/>
          <c:w val="0.19104532366768698"/>
          <c:h val="0.241819069725796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venir Book" panose="02000503020000020003" pitchFamily="2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  <a:cs typeface="Arial" panose="020B06040202020202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825501</xdr:colOff>
      <xdr:row>23</xdr:row>
      <xdr:rowOff>59267</xdr:rowOff>
    </xdr:from>
    <xdr:to>
      <xdr:col>7</xdr:col>
      <xdr:colOff>414867</xdr:colOff>
      <xdr:row>36</xdr:row>
      <xdr:rowOff>160867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56D0662-A4F4-D783-69A5-E7EF55F9D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292101</xdr:colOff>
      <xdr:row>6</xdr:row>
      <xdr:rowOff>160865</xdr:rowOff>
    </xdr:from>
    <xdr:to>
      <xdr:col>14</xdr:col>
      <xdr:colOff>461433</xdr:colOff>
      <xdr:row>22</xdr:row>
      <xdr:rowOff>8466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3583E44-D9CB-5EB7-20FD-1E837636E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345293</xdr:colOff>
      <xdr:row>0</xdr:row>
      <xdr:rowOff>0</xdr:rowOff>
    </xdr:from>
    <xdr:to>
      <xdr:col>21</xdr:col>
      <xdr:colOff>642613</xdr:colOff>
      <xdr:row>13</xdr:row>
      <xdr:rowOff>106417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B92E70-C343-A3FC-0DEF-704E780A5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834666</xdr:colOff>
      <xdr:row>17</xdr:row>
      <xdr:rowOff>47037</xdr:rowOff>
    </xdr:from>
    <xdr:to>
      <xdr:col>12</xdr:col>
      <xdr:colOff>505649</xdr:colOff>
      <xdr:row>50</xdr:row>
      <xdr:rowOff>105833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5AF73C-3CDC-AAE6-D305-DBBD55EA4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5DBE-ECB7-0342-B543-7108CC244477}">
  <dimension ref="A1:N35"/>
  <sheetViews>
    <sheetView zoomScale="108" workbookViewId="0">
      <selection activeCell="B4" sqref="B4"/>
    </sheetView>
  </sheetViews>
  <sheetFormatPr baseColWidth="10" defaultRowHeight="16" x14ac:dyDescent="0.2"/>
  <cols>
    <col min="1" max="1" width="21" customWidth="1"/>
    <col min="3" max="3" width="19" customWidth="1"/>
    <col min="4" max="4" width="16.33203125" customWidth="1"/>
    <col min="5" max="5" width="15.83203125" customWidth="1"/>
    <col min="6" max="6" width="14" customWidth="1"/>
    <col min="7" max="8" width="12.6640625" customWidth="1"/>
  </cols>
  <sheetData>
    <row r="1" spans="1:9" x14ac:dyDescent="0.2">
      <c r="B1" s="3" t="s">
        <v>3</v>
      </c>
      <c r="C1" s="5" t="s">
        <v>6</v>
      </c>
      <c r="D1" s="5" t="s">
        <v>7</v>
      </c>
      <c r="E1" s="5" t="s">
        <v>8</v>
      </c>
      <c r="F1" s="5" t="s">
        <v>14</v>
      </c>
      <c r="G1" s="5" t="s">
        <v>9</v>
      </c>
      <c r="H1" s="5" t="s">
        <v>10</v>
      </c>
      <c r="I1" s="7" t="s">
        <v>13</v>
      </c>
    </row>
    <row r="2" spans="1:9" x14ac:dyDescent="0.2">
      <c r="A2" s="6" t="s">
        <v>0</v>
      </c>
      <c r="B2" s="9">
        <v>2667.25</v>
      </c>
      <c r="C2" s="5">
        <v>2143.6687499999998</v>
      </c>
      <c r="D2" s="5">
        <v>2773.5437499999998</v>
      </c>
      <c r="E2" s="5">
        <v>2666.75</v>
      </c>
      <c r="F2" s="5">
        <v>2686.25</v>
      </c>
      <c r="G2" s="5">
        <v>1895.4625000000001</v>
      </c>
      <c r="H2" s="5">
        <v>2772.3343749999999</v>
      </c>
      <c r="I2" s="10">
        <f>LARGE(B2:H2,1)</f>
        <v>2773.5437499999998</v>
      </c>
    </row>
    <row r="3" spans="1:9" x14ac:dyDescent="0.2">
      <c r="A3" s="6" t="s">
        <v>1</v>
      </c>
      <c r="B3" s="9">
        <v>5762</v>
      </c>
      <c r="C3" s="5">
        <v>4629</v>
      </c>
      <c r="D3" s="5">
        <v>5990</v>
      </c>
      <c r="E3" s="5">
        <v>5761</v>
      </c>
      <c r="F3" s="5">
        <v>5800</v>
      </c>
      <c r="G3" s="5">
        <v>4094</v>
      </c>
      <c r="H3" s="5">
        <v>5990</v>
      </c>
      <c r="I3" s="10">
        <f t="shared" ref="I3:I4" si="0">LARGE(B3:H3,1)</f>
        <v>5990</v>
      </c>
    </row>
    <row r="4" spans="1:9" x14ac:dyDescent="0.2">
      <c r="A4" s="6" t="s">
        <v>2</v>
      </c>
      <c r="B4" s="9">
        <v>2137.5</v>
      </c>
      <c r="C4" s="5">
        <v>1708.3125</v>
      </c>
      <c r="D4" s="5">
        <v>2214.5625</v>
      </c>
      <c r="E4" s="5">
        <v>2137.5</v>
      </c>
      <c r="F4" s="5">
        <v>2137.5</v>
      </c>
      <c r="G4" s="5">
        <v>1515.375</v>
      </c>
      <c r="H4" s="5">
        <v>2226.65625</v>
      </c>
      <c r="I4" s="10">
        <f t="shared" si="0"/>
        <v>2226.65625</v>
      </c>
    </row>
    <row r="6" spans="1:9" x14ac:dyDescent="0.2">
      <c r="B6" s="3" t="s">
        <v>3</v>
      </c>
      <c r="C6" s="5" t="s">
        <v>6</v>
      </c>
      <c r="D6" s="5" t="s">
        <v>7</v>
      </c>
      <c r="E6" s="5" t="s">
        <v>8</v>
      </c>
      <c r="F6" s="5" t="s">
        <v>14</v>
      </c>
      <c r="G6" s="5" t="s">
        <v>9</v>
      </c>
      <c r="H6" s="5" t="s">
        <v>10</v>
      </c>
    </row>
    <row r="7" spans="1:9" x14ac:dyDescent="0.2">
      <c r="A7" s="8" t="s">
        <v>0</v>
      </c>
      <c r="B7" s="3">
        <f>B2/$B$2</f>
        <v>1</v>
      </c>
      <c r="C7" s="3">
        <f t="shared" ref="C7:H7" si="1">C2/$B$2</f>
        <v>0.80369997188115094</v>
      </c>
      <c r="D7" s="3">
        <f t="shared" si="1"/>
        <v>1.0398514387477737</v>
      </c>
      <c r="E7" s="3">
        <f t="shared" si="1"/>
        <v>0.99981254100665484</v>
      </c>
      <c r="F7" s="3">
        <f t="shared" si="1"/>
        <v>1.0071234417471178</v>
      </c>
      <c r="G7" s="3">
        <f t="shared" si="1"/>
        <v>0.7106429843471741</v>
      </c>
      <c r="H7" s="3">
        <f t="shared" si="1"/>
        <v>1.0393980223076202</v>
      </c>
    </row>
    <row r="8" spans="1:9" x14ac:dyDescent="0.2">
      <c r="A8" s="8" t="s">
        <v>1</v>
      </c>
      <c r="B8" s="3">
        <f>B3/$B$3</f>
        <v>1</v>
      </c>
      <c r="C8" s="3">
        <f t="shared" ref="C8:H8" si="2">C3/$B$3</f>
        <v>0.80336688649774379</v>
      </c>
      <c r="D8" s="3">
        <f t="shared" si="2"/>
        <v>1.0395695938910101</v>
      </c>
      <c r="E8" s="3">
        <f t="shared" si="2"/>
        <v>0.99982644914960084</v>
      </c>
      <c r="F8" s="3">
        <f t="shared" si="2"/>
        <v>1.0065949323151684</v>
      </c>
      <c r="G8" s="3">
        <f t="shared" si="2"/>
        <v>0.71051718153418952</v>
      </c>
      <c r="H8" s="3">
        <f t="shared" si="2"/>
        <v>1.0395695938910101</v>
      </c>
    </row>
    <row r="9" spans="1:9" x14ac:dyDescent="0.2">
      <c r="A9" s="8" t="s">
        <v>2</v>
      </c>
      <c r="B9" s="3">
        <f>B4/$B$4</f>
        <v>1</v>
      </c>
      <c r="C9" s="3">
        <f t="shared" ref="C9:H9" si="3">C4/$B$4</f>
        <v>0.79921052631578948</v>
      </c>
      <c r="D9" s="3">
        <f t="shared" si="3"/>
        <v>1.0360526315789473</v>
      </c>
      <c r="E9" s="3">
        <f t="shared" si="3"/>
        <v>1</v>
      </c>
      <c r="F9" s="3">
        <f t="shared" si="3"/>
        <v>1</v>
      </c>
      <c r="G9" s="3">
        <f t="shared" si="3"/>
        <v>0.70894736842105266</v>
      </c>
      <c r="H9" s="3">
        <f t="shared" si="3"/>
        <v>1.0417105263157895</v>
      </c>
    </row>
    <row r="14" spans="1:9" x14ac:dyDescent="0.2">
      <c r="C14" s="1"/>
    </row>
    <row r="24" spans="4:14" x14ac:dyDescent="0.2">
      <c r="D24">
        <v>0</v>
      </c>
    </row>
    <row r="28" spans="4:14" x14ac:dyDescent="0.2">
      <c r="K28" cm="1">
        <f t="array" ref="K28:N35">TRANSPOSE(A1:H4)</f>
        <v>0</v>
      </c>
      <c r="L28" t="str">
        <v>Revenues [CAD$]</v>
      </c>
      <c r="M28" t="str">
        <v>Number of passengers</v>
      </c>
      <c r="N28" t="str">
        <v>Energy charged [kWh]</v>
      </c>
    </row>
    <row r="29" spans="4:14" x14ac:dyDescent="0.2">
      <c r="K29" t="str">
        <v>Baseline</v>
      </c>
      <c r="L29">
        <v>2667.25</v>
      </c>
      <c r="M29">
        <v>5762</v>
      </c>
      <c r="N29">
        <v>2137.5</v>
      </c>
    </row>
    <row r="30" spans="4:14" x14ac:dyDescent="0.2">
      <c r="K30" t="str">
        <v>S1.1 (80 vehicles)</v>
      </c>
      <c r="L30">
        <v>2143.6687499999998</v>
      </c>
      <c r="M30">
        <v>4629</v>
      </c>
      <c r="N30">
        <v>1708.3125</v>
      </c>
    </row>
    <row r="31" spans="4:14" x14ac:dyDescent="0.2">
      <c r="K31" t="str">
        <v>S1.2 (120 vehicles)</v>
      </c>
      <c r="L31">
        <v>2773.5437499999998</v>
      </c>
      <c r="M31">
        <v>5990</v>
      </c>
      <c r="N31">
        <v>2214.5625</v>
      </c>
    </row>
    <row r="32" spans="4:14" x14ac:dyDescent="0.2">
      <c r="K32" t="str">
        <v>S2.1 (60 kWh)</v>
      </c>
      <c r="L32">
        <v>2666.75</v>
      </c>
      <c r="M32">
        <v>5761</v>
      </c>
      <c r="N32">
        <v>2137.5</v>
      </c>
    </row>
    <row r="33" spans="11:14" x14ac:dyDescent="0.2">
      <c r="K33" t="str">
        <v>S2.2 (100 kWh)</v>
      </c>
      <c r="L33">
        <v>2686.25</v>
      </c>
      <c r="M33">
        <v>5800</v>
      </c>
      <c r="N33">
        <v>2137.5</v>
      </c>
    </row>
    <row r="34" spans="11:14" x14ac:dyDescent="0.2">
      <c r="K34" t="str">
        <v>S3.1 (5 kW)</v>
      </c>
      <c r="L34">
        <v>1895.4625000000001</v>
      </c>
      <c r="M34">
        <v>4094</v>
      </c>
      <c r="N34">
        <v>1515.375</v>
      </c>
    </row>
    <row r="35" spans="11:14" x14ac:dyDescent="0.2">
      <c r="K35" t="str">
        <v>S3.2 (15kW)</v>
      </c>
      <c r="L35">
        <v>2772.3343749999999</v>
      </c>
      <c r="M35">
        <v>5990</v>
      </c>
      <c r="N35">
        <v>2226.65625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AE7C-410B-B04F-81D7-BD01EA18CFBC}">
  <dimension ref="A1:Q48"/>
  <sheetViews>
    <sheetView tabSelected="1" topLeftCell="B16" zoomScale="135" zoomScaleNormal="200" workbookViewId="0">
      <selection activeCell="J18" sqref="J18"/>
    </sheetView>
  </sheetViews>
  <sheetFormatPr baseColWidth="10" defaultRowHeight="16" x14ac:dyDescent="0.2"/>
  <cols>
    <col min="1" max="1" width="19.83203125" customWidth="1"/>
    <col min="2" max="2" width="13.1640625" customWidth="1"/>
    <col min="3" max="4" width="17.6640625" customWidth="1"/>
    <col min="5" max="5" width="14.1640625" customWidth="1"/>
    <col min="6" max="6" width="15" customWidth="1"/>
    <col min="7" max="7" width="13" customWidth="1"/>
    <col min="8" max="8" width="12.5" customWidth="1"/>
    <col min="9" max="9" width="12.1640625" customWidth="1"/>
    <col min="10" max="10" width="13.1640625" customWidth="1"/>
    <col min="11" max="11" width="15" customWidth="1"/>
    <col min="12" max="12" width="15.6640625" customWidth="1"/>
  </cols>
  <sheetData>
    <row r="1" spans="1:13" x14ac:dyDescent="0.2">
      <c r="B1" s="3" t="s">
        <v>3</v>
      </c>
      <c r="C1" s="5" t="s">
        <v>6</v>
      </c>
      <c r="D1" s="5" t="s">
        <v>7</v>
      </c>
      <c r="E1" s="5" t="s">
        <v>8</v>
      </c>
      <c r="F1" s="5" t="s">
        <v>14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15</v>
      </c>
      <c r="L1" s="5" t="s">
        <v>16</v>
      </c>
      <c r="M1" s="10" t="s">
        <v>13</v>
      </c>
    </row>
    <row r="2" spans="1:13" x14ac:dyDescent="0.2">
      <c r="A2" s="11" t="s">
        <v>0</v>
      </c>
      <c r="B2" s="3">
        <v>3040.9</v>
      </c>
      <c r="C2" s="5">
        <v>2508.6999999999998</v>
      </c>
      <c r="D2" s="5">
        <v>3719.72</v>
      </c>
      <c r="E2" s="5">
        <v>3119.61</v>
      </c>
      <c r="F2" s="5">
        <v>3121.19</v>
      </c>
      <c r="G2" s="5">
        <v>2359.4499999999998</v>
      </c>
      <c r="H2" s="5">
        <v>3496.27</v>
      </c>
      <c r="I2" s="5">
        <v>2586.08</v>
      </c>
      <c r="J2" s="5">
        <v>4328.37</v>
      </c>
      <c r="K2" s="5">
        <v>1968.72</v>
      </c>
      <c r="L2" s="5">
        <v>4197.3900000000003</v>
      </c>
      <c r="M2" s="10">
        <f>LARGE(B2:L2,1)</f>
        <v>4328.37</v>
      </c>
    </row>
    <row r="3" spans="1:13" x14ac:dyDescent="0.2">
      <c r="A3" s="11" t="s">
        <v>1</v>
      </c>
      <c r="B3" s="12">
        <v>1556</v>
      </c>
      <c r="C3" s="9">
        <v>1245</v>
      </c>
      <c r="D3" s="9">
        <v>2091</v>
      </c>
      <c r="E3" s="5">
        <v>1655</v>
      </c>
      <c r="F3" s="5">
        <v>1664</v>
      </c>
      <c r="G3" s="5">
        <v>298</v>
      </c>
      <c r="H3" s="5">
        <v>2516</v>
      </c>
      <c r="I3" s="5">
        <v>2021</v>
      </c>
      <c r="J3" s="5">
        <v>1142</v>
      </c>
      <c r="K3" s="9">
        <v>5692</v>
      </c>
      <c r="L3" s="5">
        <v>1627</v>
      </c>
      <c r="M3" s="10">
        <f>LARGE(B3:L3,1)</f>
        <v>5692</v>
      </c>
    </row>
    <row r="4" spans="1:13" x14ac:dyDescent="0.2">
      <c r="A4" s="11" t="s">
        <v>5</v>
      </c>
      <c r="B4" s="12">
        <v>7238</v>
      </c>
      <c r="C4" s="9">
        <v>5910</v>
      </c>
      <c r="D4" s="9">
        <v>8524</v>
      </c>
      <c r="E4" s="5">
        <v>7246</v>
      </c>
      <c r="F4" s="5">
        <v>7244</v>
      </c>
      <c r="G4" s="5">
        <v>6424</v>
      </c>
      <c r="H4" s="5">
        <v>7462</v>
      </c>
      <c r="I4" s="5">
        <v>5359.72</v>
      </c>
      <c r="J4" s="5">
        <v>11225</v>
      </c>
      <c r="K4" s="5">
        <v>0</v>
      </c>
      <c r="L4" s="5">
        <v>7244</v>
      </c>
      <c r="M4" s="10">
        <f>LARGE(B4:L4,1)</f>
        <v>11225</v>
      </c>
    </row>
    <row r="5" spans="1:13" x14ac:dyDescent="0.2">
      <c r="A5" s="11" t="s">
        <v>2</v>
      </c>
      <c r="B5" s="12">
        <v>9882</v>
      </c>
      <c r="C5" s="9">
        <v>7683.75</v>
      </c>
      <c r="D5" s="9">
        <v>11544.75</v>
      </c>
      <c r="E5" s="5">
        <v>9625.5</v>
      </c>
      <c r="F5" s="5">
        <v>9645.75</v>
      </c>
      <c r="G5" s="5">
        <v>6750</v>
      </c>
      <c r="H5" s="5">
        <v>11134.13</v>
      </c>
      <c r="I5" s="5">
        <v>8318.25</v>
      </c>
      <c r="J5" s="5">
        <v>12845.25</v>
      </c>
      <c r="K5" s="9">
        <v>8772.75</v>
      </c>
      <c r="L5" s="5">
        <v>9564.75</v>
      </c>
      <c r="M5" s="10">
        <f>LARGE(B5:L5,1)</f>
        <v>12845.25</v>
      </c>
    </row>
    <row r="6" spans="1:13" x14ac:dyDescent="0.2">
      <c r="A6" s="11" t="s">
        <v>4</v>
      </c>
      <c r="B6" s="12">
        <v>6.03</v>
      </c>
      <c r="C6" s="9">
        <v>4.93</v>
      </c>
      <c r="D6" s="9">
        <v>7.1</v>
      </c>
      <c r="E6" s="5">
        <v>6.04</v>
      </c>
      <c r="F6" s="5">
        <v>6.04</v>
      </c>
      <c r="G6" s="5">
        <v>5.35</v>
      </c>
      <c r="H6" s="5">
        <v>6.22</v>
      </c>
      <c r="I6" s="5">
        <v>4.47</v>
      </c>
      <c r="J6" s="5">
        <v>9.35</v>
      </c>
      <c r="K6" s="5">
        <v>0</v>
      </c>
      <c r="L6" s="5">
        <v>6.04</v>
      </c>
      <c r="M6" s="10">
        <f>LARGE(B6:L6,1)</f>
        <v>9.35</v>
      </c>
    </row>
    <row r="9" spans="1:13" x14ac:dyDescent="0.2">
      <c r="B9" s="3" t="s">
        <v>3</v>
      </c>
      <c r="C9" s="5" t="s">
        <v>6</v>
      </c>
      <c r="D9" s="5" t="s">
        <v>7</v>
      </c>
      <c r="E9" s="5" t="s">
        <v>8</v>
      </c>
      <c r="F9" s="5" t="s">
        <v>14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16</v>
      </c>
    </row>
    <row r="10" spans="1:13" x14ac:dyDescent="0.2">
      <c r="A10" s="2" t="s">
        <v>0</v>
      </c>
      <c r="B10" s="3">
        <f>B2/$B$2</f>
        <v>1</v>
      </c>
      <c r="C10" s="4">
        <f t="shared" ref="C10:J10" si="0">C2/$B$2</f>
        <v>0.8249860238745107</v>
      </c>
      <c r="D10" s="4">
        <f t="shared" si="0"/>
        <v>1.2232299648130487</v>
      </c>
      <c r="E10" s="4">
        <f t="shared" si="0"/>
        <v>1.0258837844059325</v>
      </c>
      <c r="F10" s="4">
        <f t="shared" si="0"/>
        <v>1.0264033674241178</v>
      </c>
      <c r="G10" s="4">
        <f t="shared" si="0"/>
        <v>0.7759051596566805</v>
      </c>
      <c r="H10" s="4">
        <f t="shared" si="0"/>
        <v>1.1497484297411951</v>
      </c>
      <c r="I10" s="4">
        <f t="shared" si="0"/>
        <v>0.85043243776513522</v>
      </c>
      <c r="J10" s="4">
        <f t="shared" si="0"/>
        <v>1.4233845243184582</v>
      </c>
      <c r="K10" s="4">
        <f>L2/$B$2</f>
        <v>1.3803117498109112</v>
      </c>
    </row>
    <row r="11" spans="1:13" x14ac:dyDescent="0.2">
      <c r="A11" s="2" t="s">
        <v>1</v>
      </c>
      <c r="B11" s="3">
        <f>B3/$B$3</f>
        <v>1</v>
      </c>
      <c r="C11" s="4">
        <f t="shared" ref="C11:J11" si="1">C3/$B$3</f>
        <v>0.80012853470437018</v>
      </c>
      <c r="D11" s="4">
        <f t="shared" si="1"/>
        <v>1.3438303341902313</v>
      </c>
      <c r="E11" s="4">
        <f t="shared" si="1"/>
        <v>1.0636246786632391</v>
      </c>
      <c r="F11" s="4">
        <f t="shared" si="1"/>
        <v>1.0694087403598971</v>
      </c>
      <c r="G11" s="4">
        <f t="shared" si="1"/>
        <v>0.19151670951156813</v>
      </c>
      <c r="H11" s="4">
        <f t="shared" si="1"/>
        <v>1.6169665809768639</v>
      </c>
      <c r="I11" s="4">
        <f t="shared" si="1"/>
        <v>1.2988431876606683</v>
      </c>
      <c r="J11" s="4">
        <f t="shared" si="1"/>
        <v>0.73393316195372749</v>
      </c>
      <c r="K11" s="4">
        <f>L3/$B$3</f>
        <v>1.0456298200514138</v>
      </c>
    </row>
    <row r="12" spans="1:13" x14ac:dyDescent="0.2">
      <c r="A12" s="2" t="s">
        <v>5</v>
      </c>
      <c r="B12" s="3">
        <f>B4/$B$4</f>
        <v>1</v>
      </c>
      <c r="C12" s="4">
        <f t="shared" ref="C12:J12" si="2">C4/$B$4</f>
        <v>0.81652390163028465</v>
      </c>
      <c r="D12" s="4">
        <f t="shared" si="2"/>
        <v>1.1776733904393479</v>
      </c>
      <c r="E12" s="4">
        <f t="shared" si="2"/>
        <v>1.0011052777010223</v>
      </c>
      <c r="F12" s="4">
        <f t="shared" si="2"/>
        <v>1.0008289582757668</v>
      </c>
      <c r="G12" s="4">
        <f t="shared" si="2"/>
        <v>0.88753799392097266</v>
      </c>
      <c r="H12" s="4">
        <f t="shared" si="2"/>
        <v>1.0309477756286267</v>
      </c>
      <c r="I12" s="4">
        <f t="shared" si="2"/>
        <v>0.74049737496546009</v>
      </c>
      <c r="J12" s="4">
        <f t="shared" si="2"/>
        <v>1.5508427742470297</v>
      </c>
      <c r="K12" s="4">
        <f>L4/$B$4</f>
        <v>1.0008289582757668</v>
      </c>
    </row>
    <row r="13" spans="1:13" x14ac:dyDescent="0.2">
      <c r="A13" s="2" t="s">
        <v>2</v>
      </c>
      <c r="B13" s="3">
        <f>B5/$B$5</f>
        <v>1</v>
      </c>
      <c r="C13" s="4">
        <f t="shared" ref="C13:J13" si="3">C5/$B$5</f>
        <v>0.7775500910746812</v>
      </c>
      <c r="D13" s="4">
        <f t="shared" si="3"/>
        <v>1.1682604735883424</v>
      </c>
      <c r="E13" s="4">
        <f t="shared" si="3"/>
        <v>0.97404371584699456</v>
      </c>
      <c r="F13" s="4">
        <f t="shared" si="3"/>
        <v>0.97609289617486339</v>
      </c>
      <c r="G13" s="4">
        <f t="shared" si="3"/>
        <v>0.68306010928961747</v>
      </c>
      <c r="H13" s="4">
        <f t="shared" si="3"/>
        <v>1.1267081562436754</v>
      </c>
      <c r="I13" s="4">
        <f t="shared" si="3"/>
        <v>0.84175774134790526</v>
      </c>
      <c r="J13" s="4">
        <f t="shared" si="3"/>
        <v>1.299863387978142</v>
      </c>
      <c r="K13" s="4">
        <f>L5/$B$5</f>
        <v>0.96789617486338797</v>
      </c>
    </row>
    <row r="14" spans="1:13" x14ac:dyDescent="0.2">
      <c r="A14" s="2" t="s">
        <v>4</v>
      </c>
      <c r="B14" s="3">
        <f>B6/$B$6</f>
        <v>1</v>
      </c>
      <c r="C14" s="4">
        <f t="shared" ref="C14:J14" si="4">C6/$B$6</f>
        <v>0.81757877280265334</v>
      </c>
      <c r="D14" s="4">
        <f t="shared" si="4"/>
        <v>1.1774461028192371</v>
      </c>
      <c r="E14" s="4">
        <f t="shared" si="4"/>
        <v>1.001658374792703</v>
      </c>
      <c r="F14" s="4">
        <f t="shared" si="4"/>
        <v>1.001658374792703</v>
      </c>
      <c r="G14" s="4">
        <f t="shared" si="4"/>
        <v>0.8872305140961857</v>
      </c>
      <c r="H14" s="4">
        <f t="shared" si="4"/>
        <v>1.0315091210613598</v>
      </c>
      <c r="I14" s="4">
        <f t="shared" si="4"/>
        <v>0.74129353233830841</v>
      </c>
      <c r="J14" s="4">
        <f t="shared" si="4"/>
        <v>1.550580431177446</v>
      </c>
      <c r="K14" s="4">
        <f>L6/$B$6</f>
        <v>1.001658374792703</v>
      </c>
    </row>
    <row r="20" spans="11:11" x14ac:dyDescent="0.2">
      <c r="K20" cm="1">
        <f t="array" ref="K20:K24">TRANSPOSE(M48:Q48)</f>
        <v>4197.3900000000003</v>
      </c>
    </row>
    <row r="21" spans="11:11" x14ac:dyDescent="0.2">
      <c r="K21">
        <v>1627</v>
      </c>
    </row>
    <row r="22" spans="11:11" x14ac:dyDescent="0.2">
      <c r="K22">
        <v>7244</v>
      </c>
    </row>
    <row r="23" spans="11:11" x14ac:dyDescent="0.2">
      <c r="K23">
        <v>9564.75</v>
      </c>
    </row>
    <row r="24" spans="11:11" x14ac:dyDescent="0.2">
      <c r="K24">
        <v>6.04</v>
      </c>
    </row>
    <row r="36" spans="12:17" ht="17" thickBot="1" x14ac:dyDescent="0.25"/>
    <row r="37" spans="12:17" ht="17" thickBot="1" x14ac:dyDescent="0.25">
      <c r="L37" s="13" t="s">
        <v>17</v>
      </c>
      <c r="M37" s="13" t="s">
        <v>0</v>
      </c>
      <c r="N37" s="13" t="s">
        <v>1</v>
      </c>
      <c r="O37" s="13" t="s">
        <v>5</v>
      </c>
      <c r="P37" s="13" t="s">
        <v>2</v>
      </c>
      <c r="Q37" s="13" t="s">
        <v>18</v>
      </c>
    </row>
    <row r="38" spans="12:17" x14ac:dyDescent="0.2">
      <c r="L38" s="14" t="s">
        <v>19</v>
      </c>
      <c r="M38" s="15">
        <v>3040.9</v>
      </c>
      <c r="N38" s="16">
        <v>1556</v>
      </c>
      <c r="O38" s="16">
        <v>7238</v>
      </c>
      <c r="P38" s="16">
        <v>9882</v>
      </c>
      <c r="Q38" s="14">
        <v>6.03</v>
      </c>
    </row>
    <row r="39" spans="12:17" x14ac:dyDescent="0.2">
      <c r="L39" s="14" t="s">
        <v>20</v>
      </c>
      <c r="M39" s="15">
        <v>2508.6999999999998</v>
      </c>
      <c r="N39" s="16">
        <v>1245</v>
      </c>
      <c r="O39" s="16">
        <v>5910</v>
      </c>
      <c r="P39" s="15">
        <v>7683.75</v>
      </c>
      <c r="Q39" s="14">
        <v>4.93</v>
      </c>
    </row>
    <row r="40" spans="12:17" x14ac:dyDescent="0.2">
      <c r="L40" s="14" t="s">
        <v>21</v>
      </c>
      <c r="M40" s="15">
        <v>3719.72</v>
      </c>
      <c r="N40" s="16">
        <v>2091</v>
      </c>
      <c r="O40" s="16">
        <v>8524</v>
      </c>
      <c r="P40" s="15">
        <v>11544.75</v>
      </c>
      <c r="Q40" s="14">
        <v>7.1</v>
      </c>
    </row>
    <row r="41" spans="12:17" x14ac:dyDescent="0.2">
      <c r="L41" s="14" t="s">
        <v>22</v>
      </c>
      <c r="M41" s="15">
        <v>3119.61</v>
      </c>
      <c r="N41" s="16">
        <v>1655</v>
      </c>
      <c r="O41" s="16">
        <v>7246</v>
      </c>
      <c r="P41" s="15">
        <v>9625.5</v>
      </c>
      <c r="Q41" s="14">
        <v>6.04</v>
      </c>
    </row>
    <row r="42" spans="12:17" x14ac:dyDescent="0.2">
      <c r="L42" s="14" t="s">
        <v>23</v>
      </c>
      <c r="M42" s="15">
        <v>3121.19</v>
      </c>
      <c r="N42" s="16">
        <v>1664</v>
      </c>
      <c r="O42" s="16">
        <v>7244</v>
      </c>
      <c r="P42" s="15">
        <v>9645.75</v>
      </c>
      <c r="Q42" s="14">
        <v>6.04</v>
      </c>
    </row>
    <row r="43" spans="12:17" x14ac:dyDescent="0.2">
      <c r="L43" s="14" t="s">
        <v>24</v>
      </c>
      <c r="M43" s="15">
        <v>2359.4499999999998</v>
      </c>
      <c r="N43" s="14">
        <v>298</v>
      </c>
      <c r="O43" s="16">
        <v>6424</v>
      </c>
      <c r="P43" s="16">
        <v>6750</v>
      </c>
      <c r="Q43" s="14">
        <v>5.35</v>
      </c>
    </row>
    <row r="44" spans="12:17" x14ac:dyDescent="0.2">
      <c r="L44" s="14" t="s">
        <v>25</v>
      </c>
      <c r="M44" s="15">
        <v>3496.27</v>
      </c>
      <c r="N44" s="16">
        <v>2516</v>
      </c>
      <c r="O44" s="16">
        <v>7462</v>
      </c>
      <c r="P44" s="15">
        <v>11134.13</v>
      </c>
      <c r="Q44" s="14">
        <v>6.22</v>
      </c>
    </row>
    <row r="45" spans="12:17" x14ac:dyDescent="0.2">
      <c r="L45" s="14" t="s">
        <v>26</v>
      </c>
      <c r="M45" s="15">
        <v>2586.08</v>
      </c>
      <c r="N45" s="16">
        <v>2021</v>
      </c>
      <c r="O45" s="15">
        <v>5359.72</v>
      </c>
      <c r="P45" s="15">
        <v>8318.25</v>
      </c>
      <c r="Q45" s="14">
        <v>4.47</v>
      </c>
    </row>
    <row r="46" spans="12:17" ht="17" thickBot="1" x14ac:dyDescent="0.25">
      <c r="L46" s="17" t="s">
        <v>27</v>
      </c>
      <c r="M46" s="18">
        <v>4328.37</v>
      </c>
      <c r="N46" s="19">
        <v>1142</v>
      </c>
      <c r="O46" s="19">
        <v>11225</v>
      </c>
      <c r="P46" s="18">
        <v>12845.25</v>
      </c>
      <c r="Q46" s="17">
        <v>9.35</v>
      </c>
    </row>
    <row r="47" spans="12:17" ht="17" thickBot="1" x14ac:dyDescent="0.25">
      <c r="L47" s="17" t="s">
        <v>28</v>
      </c>
      <c r="M47" s="20">
        <v>1968.72</v>
      </c>
      <c r="N47" s="21">
        <v>5692</v>
      </c>
      <c r="O47" s="17">
        <v>0</v>
      </c>
      <c r="P47" s="20">
        <v>8772.75</v>
      </c>
      <c r="Q47" s="17">
        <v>0</v>
      </c>
    </row>
    <row r="48" spans="12:17" ht="17" thickBot="1" x14ac:dyDescent="0.25">
      <c r="L48" s="22" t="s">
        <v>29</v>
      </c>
      <c r="M48" s="23">
        <v>4197.3900000000003</v>
      </c>
      <c r="N48" s="24">
        <v>1627</v>
      </c>
      <c r="O48" s="24">
        <v>7244</v>
      </c>
      <c r="P48" s="23">
        <v>9564.75</v>
      </c>
      <c r="Q48" s="22">
        <v>6.04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Transportation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2024-08-18T16:52:21Z</dcterms:created>
  <dcterms:modified xsi:type="dcterms:W3CDTF">2025-02-14T23:23:31Z</dcterms:modified>
</cp:coreProperties>
</file>