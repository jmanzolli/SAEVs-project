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omanzolli/Documents/GitHub/SAEVs/"/>
    </mc:Choice>
  </mc:AlternateContent>
  <xr:revisionPtr revIDLastSave="0" documentId="13_ncr:1_{4E4F66BA-DD85-EB46-B9C5-5C37DA6916DE}" xr6:coauthVersionLast="47" xr6:coauthVersionMax="47" xr10:uidLastSave="{00000000-0000-0000-0000-000000000000}"/>
  <bookViews>
    <workbookView xWindow="-51200" yWindow="-660" windowWidth="51200" windowHeight="28300" activeTab="1" xr2:uid="{00000000-000D-0000-FFFF-FFFF00000000}"/>
  </bookViews>
  <sheets>
    <sheet name="Sheet1" sheetId="1" r:id="rId1"/>
    <sheet name="Fo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F3" i="2"/>
  <c r="F4" i="2"/>
  <c r="F5" i="2"/>
  <c r="F2" i="2"/>
  <c r="A4" i="1"/>
  <c r="A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3" i="1"/>
</calcChain>
</file>

<file path=xl/sharedStrings.xml><?xml version="1.0" encoding="utf-8"?>
<sst xmlns="http://schemas.openxmlformats.org/spreadsheetml/2006/main" count="11" uniqueCount="11">
  <si>
    <t>Passengers Transported</t>
  </si>
  <si>
    <t>Non-dominated solutions</t>
  </si>
  <si>
    <t>Balanced</t>
  </si>
  <si>
    <r>
      <t>Transportation priority</t>
    </r>
    <r>
      <rPr>
        <b/>
        <vertAlign val="superscript"/>
        <sz val="11"/>
        <color theme="1"/>
        <rFont val="Arial"/>
        <family val="2"/>
      </rPr>
      <t>*</t>
    </r>
  </si>
  <si>
    <r>
      <t>Energy provision</t>
    </r>
    <r>
      <rPr>
        <b/>
        <vertAlign val="superscript"/>
        <sz val="11"/>
        <color theme="1"/>
        <rFont val="Arial"/>
        <family val="2"/>
      </rPr>
      <t>*</t>
    </r>
  </si>
  <si>
    <t>Energy delivered</t>
  </si>
  <si>
    <t>Energy charged</t>
  </si>
  <si>
    <t>Passenger pick-ups</t>
  </si>
  <si>
    <t>Total Revenues</t>
  </si>
  <si>
    <t>% Transp</t>
  </si>
  <si>
    <t>% 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</si>
</sst>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64063472256465"/>
          <c:y val="4.331946820934001E-2"/>
          <c:w val="0.78677035166018428"/>
          <c:h val="0.78184694118661235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Non-dominated solutions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Sheet1!$A$2:$A$19</c:f>
              <c:numCache>
                <c:formatCode>General</c:formatCode>
                <c:ptCount val="18"/>
                <c:pt idx="0">
                  <c:v>1556</c:v>
                </c:pt>
                <c:pt idx="1">
                  <c:v>1806</c:v>
                </c:pt>
                <c:pt idx="2">
                  <c:v>2056</c:v>
                </c:pt>
                <c:pt idx="3">
                  <c:v>2306</c:v>
                </c:pt>
                <c:pt idx="4">
                  <c:v>2556</c:v>
                </c:pt>
                <c:pt idx="5">
                  <c:v>2806</c:v>
                </c:pt>
                <c:pt idx="6">
                  <c:v>3056</c:v>
                </c:pt>
                <c:pt idx="7">
                  <c:v>3306</c:v>
                </c:pt>
                <c:pt idx="8">
                  <c:v>3556</c:v>
                </c:pt>
                <c:pt idx="9">
                  <c:v>3806</c:v>
                </c:pt>
                <c:pt idx="10">
                  <c:v>4056</c:v>
                </c:pt>
                <c:pt idx="11">
                  <c:v>4306</c:v>
                </c:pt>
                <c:pt idx="12">
                  <c:v>4556</c:v>
                </c:pt>
                <c:pt idx="13">
                  <c:v>4806</c:v>
                </c:pt>
                <c:pt idx="14">
                  <c:v>5056</c:v>
                </c:pt>
                <c:pt idx="15">
                  <c:v>5306</c:v>
                </c:pt>
                <c:pt idx="16">
                  <c:v>5556</c:v>
                </c:pt>
                <c:pt idx="17">
                  <c:v>5692</c:v>
                </c:pt>
              </c:numCache>
            </c:numRef>
          </c:xVal>
          <c:yVal>
            <c:numRef>
              <c:f>Sheet1!$B$2:$B$19</c:f>
              <c:numCache>
                <c:formatCode>General</c:formatCode>
                <c:ptCount val="18"/>
                <c:pt idx="0">
                  <c:v>7238</c:v>
                </c:pt>
                <c:pt idx="1">
                  <c:v>7060</c:v>
                </c:pt>
                <c:pt idx="2">
                  <c:v>6522</c:v>
                </c:pt>
                <c:pt idx="3">
                  <c:v>6192</c:v>
                </c:pt>
                <c:pt idx="4">
                  <c:v>5778</c:v>
                </c:pt>
                <c:pt idx="5">
                  <c:v>5268</c:v>
                </c:pt>
                <c:pt idx="6">
                  <c:v>4868</c:v>
                </c:pt>
                <c:pt idx="7">
                  <c:v>4324</c:v>
                </c:pt>
                <c:pt idx="8">
                  <c:v>3986</c:v>
                </c:pt>
                <c:pt idx="9">
                  <c:v>3482</c:v>
                </c:pt>
                <c:pt idx="10">
                  <c:v>3110</c:v>
                </c:pt>
                <c:pt idx="11">
                  <c:v>2672</c:v>
                </c:pt>
                <c:pt idx="12">
                  <c:v>2128</c:v>
                </c:pt>
                <c:pt idx="13">
                  <c:v>1788</c:v>
                </c:pt>
                <c:pt idx="14">
                  <c:v>1452</c:v>
                </c:pt>
                <c:pt idx="15">
                  <c:v>908</c:v>
                </c:pt>
                <c:pt idx="16">
                  <c:v>388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28-6445-B6DE-175EC48F8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003712"/>
        <c:axId val="225005424"/>
      </c:scatterChart>
      <c:valAx>
        <c:axId val="225003712"/>
        <c:scaling>
          <c:orientation val="minMax"/>
          <c:min val="15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Passengers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5005424"/>
        <c:crosses val="autoZero"/>
        <c:crossBetween val="midCat"/>
      </c:valAx>
      <c:valAx>
        <c:axId val="2250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PT"/>
                  <a:t>Energy [kWh]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25003712"/>
        <c:crosses val="autoZero"/>
        <c:crossBetween val="midCat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layout>
        <c:manualLayout>
          <c:xMode val="edge"/>
          <c:yMode val="edge"/>
          <c:x val="0.62138064462177856"/>
          <c:y val="0.11243498017998493"/>
          <c:w val="0.26487400232692343"/>
          <c:h val="6.7883908036143997E-2"/>
        </c:manualLayout>
      </c:layout>
      <c:overlay val="0"/>
      <c:spPr>
        <a:solidFill>
          <a:schemeClr val="bg1">
            <a:alpha val="7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PT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288588</xdr:colOff>
      <xdr:row>8</xdr:row>
      <xdr:rowOff>170367</xdr:rowOff>
    </xdr:from>
    <xdr:to>
      <xdr:col>14</xdr:col>
      <xdr:colOff>154878</xdr:colOff>
      <xdr:row>25</xdr:row>
      <xdr:rowOff>84779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EA8E84-057F-AB79-16A7-72383DCB5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535335</xdr:colOff>
      <xdr:row>17</xdr:row>
      <xdr:rowOff>157639</xdr:rowOff>
    </xdr:from>
    <xdr:to>
      <xdr:col>10</xdr:col>
      <xdr:colOff>47317</xdr:colOff>
      <xdr:row>18</xdr:row>
      <xdr:rowOff>162660</xdr:rowOff>
    </xdr:to>
    <xdr:sp macro="" textlink="">
      <xdr:nvSpPr>
        <xdr:cNvPr id="3" name="CaixaDeTexto 1">
          <a:extLst>
            <a:ext uri="{FF2B5EF4-FFF2-40B4-BE49-F238E27FC236}">
              <a16:creationId xmlns:a16="http://schemas.microsoft.com/office/drawing/2014/main" id="{853D4B6B-15DA-D5B6-4C10-ADAC5760CE09}"/>
            </a:ext>
          </a:extLst>
        </xdr:cNvPr>
        <xdr:cNvSpPr txBox="1"/>
      </xdr:nvSpPr>
      <xdr:spPr>
        <a:xfrm>
          <a:off x="8793183" y="3352572"/>
          <a:ext cx="856017" cy="192958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PT" sz="700" kern="1200"/>
            <a:t>Balanced solution</a:t>
          </a:r>
        </a:p>
      </xdr:txBody>
    </xdr:sp>
    <xdr:clientData/>
  </xdr:twoCellAnchor>
  <xdr:twoCellAnchor>
    <xdr:from>
      <xdr:col>6</xdr:col>
      <xdr:colOff>412670</xdr:colOff>
      <xdr:row>10</xdr:row>
      <xdr:rowOff>31990</xdr:rowOff>
    </xdr:from>
    <xdr:to>
      <xdr:col>7</xdr:col>
      <xdr:colOff>0</xdr:colOff>
      <xdr:row>10</xdr:row>
      <xdr:rowOff>118363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BE30E7E6-B7E2-3A71-4C09-60D8CD4A6AED}"/>
            </a:ext>
          </a:extLst>
        </xdr:cNvPr>
        <xdr:cNvCxnSpPr/>
      </xdr:nvCxnSpPr>
      <xdr:spPr>
        <a:xfrm flipH="1">
          <a:off x="7319295" y="1951385"/>
          <a:ext cx="259118" cy="8637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637848</xdr:colOff>
      <xdr:row>20</xdr:row>
      <xdr:rowOff>119597</xdr:rowOff>
    </xdr:from>
    <xdr:to>
      <xdr:col>12</xdr:col>
      <xdr:colOff>638981</xdr:colOff>
      <xdr:row>22</xdr:row>
      <xdr:rowOff>16009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4FB29DE0-637D-BC44-96CF-B49DD51B1E71}"/>
            </a:ext>
          </a:extLst>
        </xdr:cNvPr>
        <xdr:cNvCxnSpPr/>
      </xdr:nvCxnSpPr>
      <xdr:spPr>
        <a:xfrm>
          <a:off x="11583767" y="3878341"/>
          <a:ext cx="1133" cy="27228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336010</xdr:colOff>
      <xdr:row>16</xdr:row>
      <xdr:rowOff>102511</xdr:rowOff>
    </xdr:from>
    <xdr:to>
      <xdr:col>9</xdr:col>
      <xdr:colOff>387265</xdr:colOff>
      <xdr:row>17</xdr:row>
      <xdr:rowOff>170852</xdr:rowOff>
    </xdr:to>
    <xdr:cxnSp macro="">
      <xdr:nvCxnSpPr>
        <xdr:cNvPr id="10" name="Conexão Reta Unidirecional 9">
          <a:extLst>
            <a:ext uri="{FF2B5EF4-FFF2-40B4-BE49-F238E27FC236}">
              <a16:creationId xmlns:a16="http://schemas.microsoft.com/office/drawing/2014/main" id="{6CCD6846-A6C6-4B49-81B9-70E0BBE02DA5}"/>
            </a:ext>
          </a:extLst>
        </xdr:cNvPr>
        <xdr:cNvCxnSpPr/>
      </xdr:nvCxnSpPr>
      <xdr:spPr>
        <a:xfrm flipV="1">
          <a:off x="9265875" y="3109507"/>
          <a:ext cx="51255" cy="256278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0.7976</cdr:x>
      <cdr:y>0.65318</cdr:y>
    </cdr:from>
    <cdr:to>
      <cdr:x>0.97265</cdr:x>
      <cdr:y>0.71519</cdr:y>
    </cdr:to>
    <cdr:sp macro="" textlink="">
      <cdr:nvSpPr>
        <cdr:cNvPr id="3" name="CaixaDeTexto 2">
          <a:extLst xmlns:a="http://schemas.openxmlformats.org/drawingml/2006/main">
            <a:ext uri="{FF2B5EF4-FFF2-40B4-BE49-F238E27FC236}">
              <a16:creationId xmlns:a16="http://schemas.microsoft.com/office/drawing/2014/main" id="{D00936DC-4585-61C1-8692-E88D61D80850}"/>
            </a:ext>
          </a:extLst>
        </cdr:cNvPr>
        <cdr:cNvSpPr txBox="1"/>
      </cdr:nvSpPr>
      <cdr:spPr>
        <a:xfrm xmlns:a="http://schemas.openxmlformats.org/drawingml/2006/main">
          <a:off x="4717375" y="2030976"/>
          <a:ext cx="1035289" cy="192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pt-PT" sz="700" kern="1200"/>
            <a:t>Transportation</a:t>
          </a:r>
          <a:r>
            <a:rPr lang="pt-PT" sz="700" kern="1200" baseline="0"/>
            <a:t> priority</a:t>
          </a:r>
          <a:endParaRPr lang="pt-PT" sz="700" kern="1200"/>
        </a:p>
      </cdr:txBody>
    </cdr:sp>
  </cdr:relSizeAnchor>
  <cdr:relSizeAnchor xmlns:cdr="http://schemas.openxmlformats.org/drawingml/2006/chartDrawing">
    <cdr:from>
      <cdr:x>0.17171</cdr:x>
      <cdr:y>0.03245</cdr:y>
    </cdr:from>
    <cdr:to>
      <cdr:x>0.30884</cdr:x>
      <cdr:y>0.09446</cdr:y>
    </cdr:to>
    <cdr:sp macro="" textlink="">
      <cdr:nvSpPr>
        <cdr:cNvPr id="4" name="CaixaDeTexto 1">
          <a:extLst xmlns:a="http://schemas.openxmlformats.org/drawingml/2006/main">
            <a:ext uri="{FF2B5EF4-FFF2-40B4-BE49-F238E27FC236}">
              <a16:creationId xmlns:a16="http://schemas.microsoft.com/office/drawing/2014/main" id="{853D4B6B-15DA-D5B6-4C10-ADAC5760CE09}"/>
            </a:ext>
          </a:extLst>
        </cdr:cNvPr>
        <cdr:cNvSpPr txBox="1"/>
      </cdr:nvSpPr>
      <cdr:spPr>
        <a:xfrm xmlns:a="http://schemas.openxmlformats.org/drawingml/2006/main">
          <a:off x="1015581" y="100895"/>
          <a:ext cx="811065" cy="1928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PT" sz="700" kern="1200"/>
            <a:t>Energy provision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zoomScale="125" workbookViewId="0">
      <selection activeCell="E12" sqref="E12"/>
    </sheetView>
  </sheetViews>
  <sheetFormatPr baseColWidth="10" defaultColWidth="8.83203125" defaultRowHeight="15" x14ac:dyDescent="0.2"/>
  <cols>
    <col min="1" max="1" width="21.5" customWidth="1"/>
    <col min="2" max="4" width="17.1640625" customWidth="1"/>
  </cols>
  <sheetData>
    <row r="1" spans="1:15" x14ac:dyDescent="0.2">
      <c r="A1" s="1" t="s">
        <v>0</v>
      </c>
      <c r="B1" s="1" t="s">
        <v>1</v>
      </c>
    </row>
    <row r="2" spans="1:15" x14ac:dyDescent="0.2">
      <c r="A2">
        <v>1556</v>
      </c>
      <c r="B2">
        <v>7238</v>
      </c>
    </row>
    <row r="3" spans="1:15" x14ac:dyDescent="0.2">
      <c r="A3">
        <f>A2+250</f>
        <v>1806</v>
      </c>
      <c r="B3">
        <v>7060</v>
      </c>
    </row>
    <row r="4" spans="1:15" x14ac:dyDescent="0.2">
      <c r="A4">
        <f t="shared" ref="A4:A18" si="0">A3+250</f>
        <v>2056</v>
      </c>
      <c r="B4">
        <v>6522</v>
      </c>
    </row>
    <row r="5" spans="1:15" x14ac:dyDescent="0.2">
      <c r="A5">
        <f t="shared" si="0"/>
        <v>2306</v>
      </c>
      <c r="B5">
        <v>6192</v>
      </c>
    </row>
    <row r="6" spans="1:15" x14ac:dyDescent="0.2">
      <c r="A6">
        <f t="shared" si="0"/>
        <v>2556</v>
      </c>
      <c r="B6">
        <v>5778</v>
      </c>
    </row>
    <row r="7" spans="1:15" x14ac:dyDescent="0.2">
      <c r="A7">
        <f t="shared" si="0"/>
        <v>2806</v>
      </c>
      <c r="B7">
        <v>5268</v>
      </c>
    </row>
    <row r="8" spans="1:15" x14ac:dyDescent="0.2">
      <c r="A8">
        <f t="shared" si="0"/>
        <v>3056</v>
      </c>
      <c r="B8">
        <v>4868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>
        <f t="shared" si="0"/>
        <v>3306</v>
      </c>
      <c r="B9">
        <v>4324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>
        <f t="shared" si="0"/>
        <v>3556</v>
      </c>
      <c r="B10">
        <v>3986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>
        <f t="shared" si="0"/>
        <v>3806</v>
      </c>
      <c r="B11">
        <v>3482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>
        <f t="shared" si="0"/>
        <v>4056</v>
      </c>
      <c r="B12">
        <v>3110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>
        <f t="shared" si="0"/>
        <v>4306</v>
      </c>
      <c r="B13">
        <v>2672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>
        <f t="shared" si="0"/>
        <v>4556</v>
      </c>
      <c r="B14">
        <v>2128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>
        <f t="shared" si="0"/>
        <v>4806</v>
      </c>
      <c r="B15">
        <v>1788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>
        <f t="shared" si="0"/>
        <v>5056</v>
      </c>
      <c r="B16">
        <v>1452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>
        <f t="shared" si="0"/>
        <v>5306</v>
      </c>
      <c r="B17">
        <v>908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>
        <f t="shared" si="0"/>
        <v>5556</v>
      </c>
      <c r="B18">
        <v>388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>
        <v>5692</v>
      </c>
      <c r="B19">
        <v>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5838-AFE2-AB43-8E9A-F066F74C46C4}">
  <dimension ref="A1:F5"/>
  <sheetViews>
    <sheetView tabSelected="1" zoomScale="214" workbookViewId="0">
      <selection activeCell="D5" sqref="D5"/>
    </sheetView>
  </sheetViews>
  <sheetFormatPr baseColWidth="10" defaultRowHeight="15" x14ac:dyDescent="0.2"/>
  <cols>
    <col min="1" max="1" width="18.83203125" customWidth="1"/>
    <col min="3" max="3" width="21.6640625" customWidth="1"/>
    <col min="4" max="4" width="17.83203125" customWidth="1"/>
    <col min="5" max="5" width="20.5" customWidth="1"/>
    <col min="6" max="6" width="17.1640625" customWidth="1"/>
  </cols>
  <sheetData>
    <row r="1" spans="1:6" x14ac:dyDescent="0.2">
      <c r="A1" s="3"/>
      <c r="B1" s="4" t="s">
        <v>2</v>
      </c>
      <c r="C1" s="4" t="s">
        <v>3</v>
      </c>
      <c r="D1" s="4" t="s">
        <v>4</v>
      </c>
      <c r="E1" s="5" t="s">
        <v>9</v>
      </c>
      <c r="F1" s="5" t="s">
        <v>10</v>
      </c>
    </row>
    <row r="2" spans="1:6" x14ac:dyDescent="0.2">
      <c r="A2" s="3" t="s">
        <v>5</v>
      </c>
      <c r="B2" s="3">
        <v>3986</v>
      </c>
      <c r="C2" s="3">
        <v>0</v>
      </c>
      <c r="D2" s="3">
        <v>7238</v>
      </c>
      <c r="E2" s="3">
        <v>0</v>
      </c>
      <c r="F2" s="3">
        <f>((B2-D2)/B2)*100</f>
        <v>-81.585549422980435</v>
      </c>
    </row>
    <row r="3" spans="1:6" x14ac:dyDescent="0.2">
      <c r="A3" s="3" t="s">
        <v>6</v>
      </c>
      <c r="B3" s="3">
        <v>9105.75</v>
      </c>
      <c r="C3" s="3">
        <v>8772.75</v>
      </c>
      <c r="D3" s="3">
        <v>9882</v>
      </c>
      <c r="E3" s="3">
        <f>((C3-B3)/C3)*100</f>
        <v>-3.7958450884842265</v>
      </c>
      <c r="F3" s="3">
        <f>((B3-D3)/B3)*100</f>
        <v>-8.5248332097850259</v>
      </c>
    </row>
    <row r="4" spans="1:6" x14ac:dyDescent="0.2">
      <c r="A4" s="3" t="s">
        <v>7</v>
      </c>
      <c r="B4" s="3">
        <v>3556</v>
      </c>
      <c r="C4" s="3">
        <v>5692</v>
      </c>
      <c r="D4" s="3">
        <v>1556</v>
      </c>
      <c r="E4" s="3">
        <f>((C4-B4)/C4)*100</f>
        <v>37.526352775825721</v>
      </c>
      <c r="F4" s="3">
        <f>((B4-D4)/B4)*100</f>
        <v>56.242969628796402</v>
      </c>
    </row>
    <row r="5" spans="1:6" x14ac:dyDescent="0.2">
      <c r="A5" s="3" t="s">
        <v>8</v>
      </c>
      <c r="B5" s="3">
        <v>2657.8</v>
      </c>
      <c r="C5" s="3">
        <v>1968.72</v>
      </c>
      <c r="D5" s="3">
        <v>3040.87</v>
      </c>
      <c r="E5" s="3">
        <f>((C5-B5)/C5)*100</f>
        <v>-35.001422243894517</v>
      </c>
      <c r="F5" s="3">
        <f>((B5-D5)/B5)*100</f>
        <v>-14.413048385883048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Sheet1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Jônatas Augusto Manzolli</cp:lastModifiedBy>
  <dcterms:created xsi:type="dcterms:W3CDTF">2025-02-14T11:30:09Z</dcterms:created>
  <dcterms:modified xsi:type="dcterms:W3CDTF">2025-02-14T16:12:22Z</dcterms:modified>
</cp:coreProperties>
</file>