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omanzolli/Documents/PhD/Artigos/Journals/SAEVs paper/Outputs/"/>
    </mc:Choice>
  </mc:AlternateContent>
  <xr:revisionPtr revIDLastSave="0" documentId="13_ncr:1_{15D89C4D-D542-4040-8140-EF2321A92FD5}" xr6:coauthVersionLast="47" xr6:coauthVersionMax="47" xr10:uidLastSave="{00000000-0000-0000-0000-000000000000}"/>
  <bookViews>
    <workbookView xWindow="0" yWindow="880" windowWidth="36000" windowHeight="22500" activeTab="1" xr2:uid="{689E7613-DC92-6645-B1B6-5556FD5BF14F}"/>
  </bookViews>
  <sheets>
    <sheet name="Transportation" sheetId="1" r:id="rId1"/>
    <sheet name="Energ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2" l="1"/>
  <c r="K13" i="2"/>
  <c r="K12" i="2"/>
  <c r="K11" i="2"/>
  <c r="K10" i="2"/>
  <c r="C10" i="2"/>
  <c r="D10" i="2"/>
  <c r="E10" i="2"/>
  <c r="F10" i="2"/>
  <c r="G10" i="2"/>
  <c r="H10" i="2"/>
  <c r="I10" i="2"/>
  <c r="J10" i="2"/>
  <c r="B10" i="2"/>
  <c r="G9" i="1"/>
  <c r="H8" i="1"/>
  <c r="B7" i="1"/>
  <c r="L37" i="2" a="1"/>
  <c r="L37" i="2" s="1"/>
  <c r="C14" i="2"/>
  <c r="D14" i="2"/>
  <c r="E14" i="2"/>
  <c r="F14" i="2"/>
  <c r="G14" i="2"/>
  <c r="H14" i="2"/>
  <c r="I14" i="2"/>
  <c r="J14" i="2"/>
  <c r="B14" i="2"/>
  <c r="C13" i="2"/>
  <c r="D13" i="2"/>
  <c r="E13" i="2"/>
  <c r="F13" i="2"/>
  <c r="G13" i="2"/>
  <c r="H13" i="2"/>
  <c r="I13" i="2"/>
  <c r="J13" i="2"/>
  <c r="B13" i="2"/>
  <c r="C12" i="2"/>
  <c r="D12" i="2"/>
  <c r="E12" i="2"/>
  <c r="F12" i="2"/>
  <c r="G12" i="2"/>
  <c r="H12" i="2"/>
  <c r="I12" i="2"/>
  <c r="J12" i="2"/>
  <c r="B12" i="2"/>
  <c r="C11" i="2"/>
  <c r="D11" i="2"/>
  <c r="E11" i="2"/>
  <c r="F11" i="2"/>
  <c r="G11" i="2"/>
  <c r="H11" i="2"/>
  <c r="I11" i="2"/>
  <c r="J11" i="2"/>
  <c r="B11" i="2"/>
  <c r="M3" i="2"/>
  <c r="M4" i="2"/>
  <c r="M5" i="2"/>
  <c r="M6" i="2"/>
  <c r="M2" i="2"/>
  <c r="K28" i="1" l="1" a="1"/>
  <c r="K28" i="1" s="1"/>
  <c r="F7" i="1"/>
  <c r="E8" i="1"/>
  <c r="D9" i="1"/>
  <c r="G8" i="1"/>
  <c r="E9" i="1"/>
  <c r="I2" i="1"/>
  <c r="C8" i="1"/>
  <c r="I3" i="1"/>
  <c r="B8" i="1"/>
  <c r="H9" i="1"/>
  <c r="H7" i="1"/>
  <c r="F9" i="1"/>
  <c r="G7" i="1"/>
  <c r="F8" i="1"/>
  <c r="E7" i="1"/>
  <c r="D8" i="1"/>
  <c r="C9" i="1"/>
  <c r="D7" i="1"/>
  <c r="I4" i="1"/>
  <c r="C7" i="1"/>
  <c r="B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<sst xmlns="http://schemas.openxmlformats.org/spreadsheetml/2006/main" count="53" uniqueCount="17">
  <si>
    <t>Revenues [CAD$]</t>
  </si>
  <si>
    <t>Number of passengers</t>
  </si>
  <si>
    <t>Energy charged [kWh]</t>
  </si>
  <si>
    <t>Baseline</t>
  </si>
  <si>
    <t>Degradation cots [CAS$]</t>
  </si>
  <si>
    <t>Energy provided [kWh]</t>
  </si>
  <si>
    <t>S1.1 (80 vehicles)</t>
  </si>
  <si>
    <t>S1.2 (120 vehicles)</t>
  </si>
  <si>
    <t>S2.1 (60 kWh)</t>
  </si>
  <si>
    <t>S3.1 (5 kW)</t>
  </si>
  <si>
    <t>S3.2 (15kW)</t>
  </si>
  <si>
    <t>S4.1 (10 kW)</t>
  </si>
  <si>
    <t>S4.2 (15 kW)</t>
  </si>
  <si>
    <t>Bigger</t>
  </si>
  <si>
    <t>S2.2 (100 kWh)</t>
  </si>
  <si>
    <t>S5.1 (0.2 CAD$)</t>
  </si>
  <si>
    <t>S5.2 (0.6 CAD$)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</si>
</sst>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0" fontId="4" fillId="0" borderId="2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4" borderId="3" xfId="0" applyFill="1" applyBorder="1"/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4" borderId="1" xfId="0" applyFill="1" applyBorder="1"/>
    <xf numFmtId="0" fontId="4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0D667"/>
      <color rgb="FF4EC0E8"/>
      <color rgb="FFAD92EC"/>
      <color rgb="FFEE5464"/>
      <color rgb="FFFFCF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Transportation!$A$2</c:f>
              <c:strCache>
                <c:ptCount val="1"/>
                <c:pt idx="0">
                  <c:v>Revenues [CAD$]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Transportation!$B$1:$H$1</c:f>
              <c:strCache>
                <c:ptCount val="7"/>
                <c:pt idx="0">
                  <c:v>Baseline</c:v>
                </c:pt>
                <c:pt idx="1">
                  <c:v>S1.1 (80 vehicles)</c:v>
                </c:pt>
                <c:pt idx="2">
                  <c:v>S1.2 (120 vehicles)</c:v>
                </c:pt>
                <c:pt idx="3">
                  <c:v>S2.1 (60 kWh)</c:v>
                </c:pt>
                <c:pt idx="4">
                  <c:v>S2.2 (100 kWh)</c:v>
                </c:pt>
                <c:pt idx="5">
                  <c:v>S3.1 (5 kW)</c:v>
                </c:pt>
                <c:pt idx="6">
                  <c:v>S3.2 (15kW)</c:v>
                </c:pt>
              </c:strCache>
            </c:strRef>
          </c:cat>
          <c:val>
            <c:numRef>
              <c:f>Transportation!$B$2:$H$2</c:f>
              <c:numCache>
                <c:formatCode>General</c:formatCode>
                <c:ptCount val="7"/>
                <c:pt idx="0">
                  <c:v>2667.25</c:v>
                </c:pt>
                <c:pt idx="1">
                  <c:v>2143.6687499999998</c:v>
                </c:pt>
                <c:pt idx="2">
                  <c:v>2773.5437499999998</c:v>
                </c:pt>
                <c:pt idx="3">
                  <c:v>2666.75</c:v>
                </c:pt>
                <c:pt idx="4">
                  <c:v>2686.25</c:v>
                </c:pt>
                <c:pt idx="5">
                  <c:v>1895.4625000000001</c:v>
                </c:pt>
                <c:pt idx="6">
                  <c:v>2772.3343749999999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F-A64B-BC51-35A15D85A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4049967"/>
        <c:axId val="1434051679"/>
      </c:barChart>
      <c:catAx>
        <c:axId val="143404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34051679"/>
        <c:crosses val="autoZero"/>
        <c:auto val="1"/>
        <c:lblAlgn val="ctr"/>
        <c:lblOffset val="100"/>
        <c:noMultiLvlLbl val="0"/>
      </c:catAx>
      <c:valAx>
        <c:axId val="143405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3404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Transportation!$A$7</c:f>
              <c:strCache>
                <c:ptCount val="1"/>
                <c:pt idx="0">
                  <c:v>Revenues [CAD$]</c:v>
                </c:pt>
              </c:strCache>
            </c:strRef>
          </c:tx>
          <c:spPr>
            <a:ln w="34925" cap="rnd" cmpd="dbl">
              <a:solidFill>
                <a:srgbClr val="AD92EC"/>
              </a:solidFill>
              <a:round/>
            </a:ln>
            <a:effectLst/>
          </c:spPr>
          <c:marker>
            <c:symbol val="none"/>
          </c:marker>
          <c:cat>
            <c:strRef>
              <c:f>Transportation!$B$6:$H$6</c:f>
              <c:strCache>
                <c:ptCount val="7"/>
                <c:pt idx="0">
                  <c:v>Baseline</c:v>
                </c:pt>
                <c:pt idx="1">
                  <c:v>S1.1 (80 vehicles)</c:v>
                </c:pt>
                <c:pt idx="2">
                  <c:v>S1.2 (120 vehicles)</c:v>
                </c:pt>
                <c:pt idx="3">
                  <c:v>S2.1 (60 kWh)</c:v>
                </c:pt>
                <c:pt idx="4">
                  <c:v>S2.2 (100 kWh)</c:v>
                </c:pt>
                <c:pt idx="5">
                  <c:v>S3.1 (5 kW)</c:v>
                </c:pt>
                <c:pt idx="6">
                  <c:v>S3.2 (15kW)</c:v>
                </c:pt>
              </c:strCache>
            </c:strRef>
          </c:cat>
          <c:val>
            <c:numRef>
              <c:f>Transportation!$B$7:$H$7</c:f>
              <c:numCache>
                <c:formatCode>General</c:formatCode>
                <c:ptCount val="7"/>
                <c:pt idx="0">
                  <c:v>1</c:v>
                </c:pt>
                <c:pt idx="1">
                  <c:v>0.80369997188115094</c:v>
                </c:pt>
                <c:pt idx="2">
                  <c:v>1.0398514387477737</c:v>
                </c:pt>
                <c:pt idx="3">
                  <c:v>0.99981254100665484</c:v>
                </c:pt>
                <c:pt idx="4">
                  <c:v>1.0071234417471178</c:v>
                </c:pt>
                <c:pt idx="5">
                  <c:v>0.7106429843471741</c:v>
                </c:pt>
                <c:pt idx="6">
                  <c:v>1.0393980223076202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2-234A-96E7-6D5AAF31F10A}"/>
            </c:ext>
          </c:extLst>
        </c:ser>
        <c:ser>
          <c:idx val="1"/>
          <c:order val="1"/>
          <c:tx>
            <c:strRef>
              <c:f>Transportation!$A$8</c:f>
              <c:strCache>
                <c:ptCount val="1"/>
                <c:pt idx="0">
                  <c:v>Number of passengers</c:v>
                </c:pt>
              </c:strCache>
            </c:strRef>
          </c:tx>
          <c:spPr>
            <a:ln w="12700" cap="rnd">
              <a:solidFill>
                <a:srgbClr val="4EC0E8"/>
              </a:solidFill>
              <a:round/>
            </a:ln>
            <a:effectLst/>
          </c:spPr>
          <c:marker>
            <c:symbol val="none"/>
          </c:marker>
          <c:cat>
            <c:strRef>
              <c:f>Transportation!$B$6:$H$6</c:f>
              <c:strCache>
                <c:ptCount val="7"/>
                <c:pt idx="0">
                  <c:v>Baseline</c:v>
                </c:pt>
                <c:pt idx="1">
                  <c:v>S1.1 (80 vehicles)</c:v>
                </c:pt>
                <c:pt idx="2">
                  <c:v>S1.2 (120 vehicles)</c:v>
                </c:pt>
                <c:pt idx="3">
                  <c:v>S2.1 (60 kWh)</c:v>
                </c:pt>
                <c:pt idx="4">
                  <c:v>S2.2 (100 kWh)</c:v>
                </c:pt>
                <c:pt idx="5">
                  <c:v>S3.1 (5 kW)</c:v>
                </c:pt>
                <c:pt idx="6">
                  <c:v>S3.2 (15kW)</c:v>
                </c:pt>
              </c:strCache>
            </c:strRef>
          </c:cat>
          <c:val>
            <c:numRef>
              <c:f>Transportation!$B$8:$H$8</c:f>
              <c:numCache>
                <c:formatCode>General</c:formatCode>
                <c:ptCount val="7"/>
                <c:pt idx="0">
                  <c:v>1</c:v>
                </c:pt>
                <c:pt idx="1">
                  <c:v>0.80336688649774379</c:v>
                </c:pt>
                <c:pt idx="2">
                  <c:v>1.0395695938910101</c:v>
                </c:pt>
                <c:pt idx="3">
                  <c:v>0.99982644914960084</c:v>
                </c:pt>
                <c:pt idx="4">
                  <c:v>1.0065949323151684</c:v>
                </c:pt>
                <c:pt idx="5">
                  <c:v>0.71051718153418952</c:v>
                </c:pt>
                <c:pt idx="6">
                  <c:v>1.0395695938910101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C2-234A-96E7-6D5AAF31F10A}"/>
            </c:ext>
          </c:extLst>
        </c:ser>
        <c:ser>
          <c:idx val="2"/>
          <c:order val="2"/>
          <c:tx>
            <c:strRef>
              <c:f>Transportation!$A$9</c:f>
              <c:strCache>
                <c:ptCount val="1"/>
                <c:pt idx="0">
                  <c:v>Energy charged [kWh]</c:v>
                </c:pt>
              </c:strCache>
            </c:strRef>
          </c:tx>
          <c:spPr>
            <a:ln w="12700" cap="rnd">
              <a:solidFill>
                <a:srgbClr val="A0D667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Transportation!$B$6:$H$6</c:f>
              <c:strCache>
                <c:ptCount val="7"/>
                <c:pt idx="0">
                  <c:v>Baseline</c:v>
                </c:pt>
                <c:pt idx="1">
                  <c:v>S1.1 (80 vehicles)</c:v>
                </c:pt>
                <c:pt idx="2">
                  <c:v>S1.2 (120 vehicles)</c:v>
                </c:pt>
                <c:pt idx="3">
                  <c:v>S2.1 (60 kWh)</c:v>
                </c:pt>
                <c:pt idx="4">
                  <c:v>S2.2 (100 kWh)</c:v>
                </c:pt>
                <c:pt idx="5">
                  <c:v>S3.1 (5 kW)</c:v>
                </c:pt>
                <c:pt idx="6">
                  <c:v>S3.2 (15kW)</c:v>
                </c:pt>
              </c:strCache>
            </c:strRef>
          </c:cat>
          <c:val>
            <c:numRef>
              <c:f>Transportation!$B$9:$H$9</c:f>
              <c:numCache>
                <c:formatCode>General</c:formatCode>
                <c:ptCount val="7"/>
                <c:pt idx="0">
                  <c:v>1</c:v>
                </c:pt>
                <c:pt idx="1">
                  <c:v>0.79921052631578948</c:v>
                </c:pt>
                <c:pt idx="2">
                  <c:v>1.0360526315789473</c:v>
                </c:pt>
                <c:pt idx="3">
                  <c:v>1</c:v>
                </c:pt>
                <c:pt idx="4">
                  <c:v>1</c:v>
                </c:pt>
                <c:pt idx="5">
                  <c:v>0.70894736842105266</c:v>
                </c:pt>
                <c:pt idx="6">
                  <c:v>1.0417105263157895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C2-234A-96E7-6D5AAF31F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1404191"/>
        <c:axId val="1711441983"/>
      </c:radarChart>
      <c:catAx>
        <c:axId val="171140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11441983"/>
        <c:crosses val="autoZero"/>
        <c:auto val="1"/>
        <c:lblAlgn val="ctr"/>
        <c:lblOffset val="100"/>
        <c:noMultiLvlLbl val="0"/>
      </c:catAx>
      <c:valAx>
        <c:axId val="1711441983"/>
        <c:scaling>
          <c:orientation val="minMax"/>
          <c:max val="1.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1140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Energy!$A$6</c:f>
              <c:strCache>
                <c:ptCount val="1"/>
                <c:pt idx="0">
                  <c:v>Degradation cots [CAS$]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Energy!$B$1:$L$1</c:f>
              <c:strCache>
                <c:ptCount val="11"/>
                <c:pt idx="0">
                  <c:v>Baseline</c:v>
                </c:pt>
                <c:pt idx="1">
                  <c:v>S1.1 (80 vehicles)</c:v>
                </c:pt>
                <c:pt idx="2">
                  <c:v>S1.2 (120 vehicles)</c:v>
                </c:pt>
                <c:pt idx="3">
                  <c:v>S2.1 (60 kWh)</c:v>
                </c:pt>
                <c:pt idx="4">
                  <c:v>S2.2 (100 kWh)</c:v>
                </c:pt>
                <c:pt idx="5">
                  <c:v>S3.1 (5 kW)</c:v>
                </c:pt>
                <c:pt idx="6">
                  <c:v>S3.2 (15kW)</c:v>
                </c:pt>
                <c:pt idx="7">
                  <c:v>S4.1 (10 kW)</c:v>
                </c:pt>
                <c:pt idx="8">
                  <c:v>S4.2 (15 kW)</c:v>
                </c:pt>
                <c:pt idx="9">
                  <c:v>S5.1 (0.2 CAD$)</c:v>
                </c:pt>
                <c:pt idx="10">
                  <c:v>S5.2 (0.6 CAD$)</c:v>
                </c:pt>
              </c:strCache>
            </c:strRef>
          </c:cat>
          <c:val>
            <c:numRef>
              <c:f>Energy!$B$6:$L$6</c:f>
              <c:numCache>
                <c:formatCode>General</c:formatCode>
                <c:ptCount val="11"/>
                <c:pt idx="0">
                  <c:v>6.0283333333333333</c:v>
                </c:pt>
                <c:pt idx="1">
                  <c:v>4.9250000000000016</c:v>
                </c:pt>
                <c:pt idx="2">
                  <c:v>7.0983333333333372</c:v>
                </c:pt>
                <c:pt idx="3">
                  <c:v>6.030000000000002</c:v>
                </c:pt>
                <c:pt idx="4">
                  <c:v>6.0266666666666682</c:v>
                </c:pt>
                <c:pt idx="5">
                  <c:v>5.3683333333333332</c:v>
                </c:pt>
                <c:pt idx="6">
                  <c:v>6.2166666666666677</c:v>
                </c:pt>
                <c:pt idx="7">
                  <c:v>4.4675925925925952</c:v>
                </c:pt>
                <c:pt idx="8">
                  <c:v>9.3541666666666643</c:v>
                </c:pt>
                <c:pt idx="9">
                  <c:v>0</c:v>
                </c:pt>
                <c:pt idx="10">
                  <c:v>6.0333333333333359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B-014B-99F9-378614C19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355264"/>
        <c:axId val="168379472"/>
      </c:barChart>
      <c:catAx>
        <c:axId val="16835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8379472"/>
        <c:crosses val="autoZero"/>
        <c:auto val="1"/>
        <c:lblAlgn val="ctr"/>
        <c:lblOffset val="100"/>
        <c:noMultiLvlLbl val="0"/>
      </c:catAx>
      <c:valAx>
        <c:axId val="16837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835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Energy!$A$10</c:f>
              <c:strCache>
                <c:ptCount val="1"/>
                <c:pt idx="0">
                  <c:v>Revenues [CAD$]</c:v>
                </c:pt>
              </c:strCache>
            </c:strRef>
          </c:tx>
          <c:spPr>
            <a:ln w="28575" cap="rnd">
              <a:solidFill>
                <a:srgbClr val="AD92EC"/>
              </a:solidFill>
              <a:round/>
            </a:ln>
            <a:effectLst/>
          </c:spPr>
          <c:marker>
            <c:symbol val="none"/>
          </c:marker>
          <c:cat>
            <c:strRef>
              <c:f>Energy!$B$9:$K$9</c:f>
              <c:strCache>
                <c:ptCount val="10"/>
                <c:pt idx="0">
                  <c:v>Baseline</c:v>
                </c:pt>
                <c:pt idx="1">
                  <c:v>S1.1 (80 vehicles)</c:v>
                </c:pt>
                <c:pt idx="2">
                  <c:v>S1.2 (120 vehicles)</c:v>
                </c:pt>
                <c:pt idx="3">
                  <c:v>S2.1 (60 kWh)</c:v>
                </c:pt>
                <c:pt idx="4">
                  <c:v>S2.2 (100 kWh)</c:v>
                </c:pt>
                <c:pt idx="5">
                  <c:v>S3.1 (5 kW)</c:v>
                </c:pt>
                <c:pt idx="6">
                  <c:v>S3.2 (15kW)</c:v>
                </c:pt>
                <c:pt idx="7">
                  <c:v>S4.1 (10 kW)</c:v>
                </c:pt>
                <c:pt idx="8">
                  <c:v>S4.2 (15 kW)</c:v>
                </c:pt>
                <c:pt idx="9">
                  <c:v>S5.2 (0.6 CAD$)</c:v>
                </c:pt>
              </c:strCache>
            </c:strRef>
          </c:cat>
          <c:val>
            <c:numRef>
              <c:f>Energy!$B$10:$K$10</c:f>
              <c:numCache>
                <c:formatCode>General</c:formatCode>
                <c:ptCount val="10"/>
                <c:pt idx="0">
                  <c:v>1</c:v>
                </c:pt>
                <c:pt idx="1">
                  <c:v>0.78494273475056731</c:v>
                </c:pt>
                <c:pt idx="2">
                  <c:v>1.2299009599127857</c:v>
                </c:pt>
                <c:pt idx="3">
                  <c:v>1.0035145988660894</c:v>
                </c:pt>
                <c:pt idx="4">
                  <c:v>1.000019247529387</c:v>
                </c:pt>
                <c:pt idx="5">
                  <c:v>0.47240366226591152</c:v>
                </c:pt>
                <c:pt idx="6">
                  <c:v>1.3212320266570581</c:v>
                </c:pt>
                <c:pt idx="7">
                  <c:v>1.0343799369912878</c:v>
                </c:pt>
                <c:pt idx="8">
                  <c:v>1.0521661939473448</c:v>
                </c:pt>
                <c:pt idx="9">
                  <c:v>1.2700975002848633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3-FC49-9E65-ADB1D23CBFA6}"/>
            </c:ext>
          </c:extLst>
        </c:ser>
        <c:ser>
          <c:idx val="1"/>
          <c:order val="1"/>
          <c:tx>
            <c:strRef>
              <c:f>Energy!$A$11</c:f>
              <c:strCache>
                <c:ptCount val="1"/>
                <c:pt idx="0">
                  <c:v>Number of passengers</c:v>
                </c:pt>
              </c:strCache>
            </c:strRef>
          </c:tx>
          <c:spPr>
            <a:ln w="28575" cap="rnd">
              <a:solidFill>
                <a:srgbClr val="4EC0E8"/>
              </a:solidFill>
              <a:round/>
            </a:ln>
            <a:effectLst/>
          </c:spPr>
          <c:marker>
            <c:symbol val="none"/>
          </c:marker>
          <c:cat>
            <c:strRef>
              <c:f>Energy!$B$9:$K$9</c:f>
              <c:strCache>
                <c:ptCount val="10"/>
                <c:pt idx="0">
                  <c:v>Baseline</c:v>
                </c:pt>
                <c:pt idx="1">
                  <c:v>S1.1 (80 vehicles)</c:v>
                </c:pt>
                <c:pt idx="2">
                  <c:v>S1.2 (120 vehicles)</c:v>
                </c:pt>
                <c:pt idx="3">
                  <c:v>S2.1 (60 kWh)</c:v>
                </c:pt>
                <c:pt idx="4">
                  <c:v>S2.2 (100 kWh)</c:v>
                </c:pt>
                <c:pt idx="5">
                  <c:v>S3.1 (5 kW)</c:v>
                </c:pt>
                <c:pt idx="6">
                  <c:v>S3.2 (15kW)</c:v>
                </c:pt>
                <c:pt idx="7">
                  <c:v>S4.1 (10 kW)</c:v>
                </c:pt>
                <c:pt idx="8">
                  <c:v>S4.2 (15 kW)</c:v>
                </c:pt>
                <c:pt idx="9">
                  <c:v>S5.2 (0.6 CAD$)</c:v>
                </c:pt>
              </c:strCache>
            </c:strRef>
          </c:cat>
          <c:val>
            <c:numRef>
              <c:f>Energy!$B$11:$K$11</c:f>
              <c:numCache>
                <c:formatCode>General</c:formatCode>
                <c:ptCount val="10"/>
                <c:pt idx="0">
                  <c:v>1</c:v>
                </c:pt>
                <c:pt idx="1">
                  <c:v>0.76248477466504261</c:v>
                </c:pt>
                <c:pt idx="2">
                  <c:v>1.2685749086479903</c:v>
                </c:pt>
                <c:pt idx="3">
                  <c:v>1.0066991473812423</c:v>
                </c:pt>
                <c:pt idx="4">
                  <c:v>1</c:v>
                </c:pt>
                <c:pt idx="5">
                  <c:v>0.17478684633669214</c:v>
                </c:pt>
                <c:pt idx="6">
                  <c:v>1.5280146163215591</c:v>
                </c:pt>
                <c:pt idx="7">
                  <c:v>1.2423873325213155</c:v>
                </c:pt>
                <c:pt idx="8">
                  <c:v>0.70036540803897684</c:v>
                </c:pt>
                <c:pt idx="9">
                  <c:v>0.98477466504263089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63-FC49-9E65-ADB1D23CBFA6}"/>
            </c:ext>
          </c:extLst>
        </c:ser>
        <c:ser>
          <c:idx val="2"/>
          <c:order val="2"/>
          <c:tx>
            <c:strRef>
              <c:f>Energy!$A$12</c:f>
              <c:strCache>
                <c:ptCount val="1"/>
                <c:pt idx="0">
                  <c:v>Energy provided [kWh]</c:v>
                </c:pt>
              </c:strCache>
            </c:strRef>
          </c:tx>
          <c:spPr>
            <a:ln w="28575" cap="rnd">
              <a:solidFill>
                <a:srgbClr val="A0D667"/>
              </a:solidFill>
              <a:round/>
            </a:ln>
            <a:effectLst/>
          </c:spPr>
          <c:marker>
            <c:symbol val="none"/>
          </c:marker>
          <c:cat>
            <c:strRef>
              <c:f>Energy!$B$9:$K$9</c:f>
              <c:strCache>
                <c:ptCount val="10"/>
                <c:pt idx="0">
                  <c:v>Baseline</c:v>
                </c:pt>
                <c:pt idx="1">
                  <c:v>S1.1 (80 vehicles)</c:v>
                </c:pt>
                <c:pt idx="2">
                  <c:v>S1.2 (120 vehicles)</c:v>
                </c:pt>
                <c:pt idx="3">
                  <c:v>S2.1 (60 kWh)</c:v>
                </c:pt>
                <c:pt idx="4">
                  <c:v>S2.2 (100 kWh)</c:v>
                </c:pt>
                <c:pt idx="5">
                  <c:v>S3.1 (5 kW)</c:v>
                </c:pt>
                <c:pt idx="6">
                  <c:v>S3.2 (15kW)</c:v>
                </c:pt>
                <c:pt idx="7">
                  <c:v>S4.1 (10 kW)</c:v>
                </c:pt>
                <c:pt idx="8">
                  <c:v>S4.2 (15 kW)</c:v>
                </c:pt>
                <c:pt idx="9">
                  <c:v>S5.2 (0.6 CAD$)</c:v>
                </c:pt>
              </c:strCache>
            </c:strRef>
          </c:cat>
          <c:val>
            <c:numRef>
              <c:f>Energy!$B$12:$K$12</c:f>
              <c:numCache>
                <c:formatCode>General</c:formatCode>
                <c:ptCount val="10"/>
                <c:pt idx="0">
                  <c:v>1</c:v>
                </c:pt>
                <c:pt idx="1">
                  <c:v>0.81697539397290575</c:v>
                </c:pt>
                <c:pt idx="2">
                  <c:v>1.1774951617362455</c:v>
                </c:pt>
                <c:pt idx="3">
                  <c:v>1.0002764722145425</c:v>
                </c:pt>
                <c:pt idx="4">
                  <c:v>0.99972352778545759</c:v>
                </c:pt>
                <c:pt idx="5">
                  <c:v>0.89051700304119441</c:v>
                </c:pt>
                <c:pt idx="6">
                  <c:v>1.0312413602432955</c:v>
                </c:pt>
                <c:pt idx="7">
                  <c:v>0.74109913064848043</c:v>
                </c:pt>
                <c:pt idx="8">
                  <c:v>1.5517003041194359</c:v>
                </c:pt>
                <c:pt idx="9">
                  <c:v>1.0008294166436273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63-FC49-9E65-ADB1D23CBFA6}"/>
            </c:ext>
          </c:extLst>
        </c:ser>
        <c:ser>
          <c:idx val="3"/>
          <c:order val="3"/>
          <c:tx>
            <c:strRef>
              <c:f>Energy!$A$13</c:f>
              <c:strCache>
                <c:ptCount val="1"/>
                <c:pt idx="0">
                  <c:v>Energy charged [kWh]</c:v>
                </c:pt>
              </c:strCache>
            </c:strRef>
          </c:tx>
          <c:spPr>
            <a:ln w="28575" cap="rnd">
              <a:solidFill>
                <a:srgbClr val="FFCF55"/>
              </a:solidFill>
              <a:round/>
            </a:ln>
            <a:effectLst/>
          </c:spPr>
          <c:marker>
            <c:symbol val="none"/>
          </c:marker>
          <c:cat>
            <c:strRef>
              <c:f>Energy!$B$9:$K$9</c:f>
              <c:strCache>
                <c:ptCount val="10"/>
                <c:pt idx="0">
                  <c:v>Baseline</c:v>
                </c:pt>
                <c:pt idx="1">
                  <c:v>S1.1 (80 vehicles)</c:v>
                </c:pt>
                <c:pt idx="2">
                  <c:v>S1.2 (120 vehicles)</c:v>
                </c:pt>
                <c:pt idx="3">
                  <c:v>S2.1 (60 kWh)</c:v>
                </c:pt>
                <c:pt idx="4">
                  <c:v>S2.2 (100 kWh)</c:v>
                </c:pt>
                <c:pt idx="5">
                  <c:v>S3.1 (5 kW)</c:v>
                </c:pt>
                <c:pt idx="6">
                  <c:v>S3.2 (15kW)</c:v>
                </c:pt>
                <c:pt idx="7">
                  <c:v>S4.1 (10 kW)</c:v>
                </c:pt>
                <c:pt idx="8">
                  <c:v>S4.2 (15 kW)</c:v>
                </c:pt>
                <c:pt idx="9">
                  <c:v>S5.2 (0.6 CAD$)</c:v>
                </c:pt>
              </c:strCache>
            </c:strRef>
          </c:cat>
          <c:val>
            <c:numRef>
              <c:f>Energy!$B$13:$K$13</c:f>
              <c:numCache>
                <c:formatCode>General</c:formatCode>
                <c:ptCount val="10"/>
                <c:pt idx="0">
                  <c:v>1</c:v>
                </c:pt>
                <c:pt idx="1">
                  <c:v>0.80389854391733206</c:v>
                </c:pt>
                <c:pt idx="2">
                  <c:v>1.2054955378111789</c:v>
                </c:pt>
                <c:pt idx="3">
                  <c:v>1.0046970408642555</c:v>
                </c:pt>
                <c:pt idx="4">
                  <c:v>0.9990605918271489</c:v>
                </c:pt>
                <c:pt idx="5">
                  <c:v>0.70455612993513617</c:v>
                </c:pt>
                <c:pt idx="6">
                  <c:v>1.1614607797087835</c:v>
                </c:pt>
                <c:pt idx="7">
                  <c:v>0.86895255988727105</c:v>
                </c:pt>
                <c:pt idx="8">
                  <c:v>1.3424142790042273</c:v>
                </c:pt>
                <c:pt idx="9">
                  <c:v>0.99694692343823388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86-E742-A4BF-9A74D12BF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944992"/>
        <c:axId val="1567154287"/>
      </c:radarChart>
      <c:catAx>
        <c:axId val="196794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1567154287"/>
        <c:crosses val="autoZero"/>
        <c:auto val="1"/>
        <c:lblAlgn val="ctr"/>
        <c:lblOffset val="100"/>
        <c:noMultiLvlLbl val="0"/>
      </c:catAx>
      <c:valAx>
        <c:axId val="1567154287"/>
        <c:scaling>
          <c:orientation val="minMax"/>
          <c:max val="1.6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6794499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rial" panose="020B0604020202020204" pitchFamily="34" charset="0"/>
          <a:cs typeface="Arial" panose="020B06040202020202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825501</xdr:colOff>
      <xdr:row>23</xdr:row>
      <xdr:rowOff>59267</xdr:rowOff>
    </xdr:from>
    <xdr:to>
      <xdr:col>7</xdr:col>
      <xdr:colOff>414867</xdr:colOff>
      <xdr:row>36</xdr:row>
      <xdr:rowOff>160867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56D0662-A4F4-D783-69A5-E7EF55F9D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292101</xdr:colOff>
      <xdr:row>6</xdr:row>
      <xdr:rowOff>160865</xdr:rowOff>
    </xdr:from>
    <xdr:to>
      <xdr:col>14</xdr:col>
      <xdr:colOff>461433</xdr:colOff>
      <xdr:row>22</xdr:row>
      <xdr:rowOff>8466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3583E44-D9CB-5EB7-20FD-1E837636E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180662</xdr:colOff>
      <xdr:row>12</xdr:row>
      <xdr:rowOff>39283</xdr:rowOff>
    </xdr:from>
    <xdr:to>
      <xdr:col>19</xdr:col>
      <xdr:colOff>477982</xdr:colOff>
      <xdr:row>25</xdr:row>
      <xdr:rowOff>145700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B92E70-C343-A3FC-0DEF-704E780A57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11517</xdr:colOff>
      <xdr:row>18</xdr:row>
      <xdr:rowOff>81559</xdr:rowOff>
    </xdr:from>
    <xdr:to>
      <xdr:col>8</xdr:col>
      <xdr:colOff>862202</xdr:colOff>
      <xdr:row>48</xdr:row>
      <xdr:rowOff>128164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5AF73C-3CDC-AAE6-D305-DBBD55EA4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5DBE-ECB7-0342-B543-7108CC244477}">
  <dimension ref="A1:N35"/>
  <sheetViews>
    <sheetView zoomScale="108" workbookViewId="0">
      <selection activeCell="B4" sqref="B4"/>
    </sheetView>
  </sheetViews>
  <sheetFormatPr baseColWidth="10" defaultRowHeight="16" x14ac:dyDescent="0.2"/>
  <cols>
    <col min="1" max="1" width="21" customWidth="1"/>
    <col min="3" max="3" width="19" customWidth="1"/>
    <col min="4" max="4" width="16.33203125" customWidth="1"/>
    <col min="5" max="5" width="15.83203125" customWidth="1"/>
    <col min="6" max="6" width="14" customWidth="1"/>
    <col min="7" max="8" width="12.6640625" customWidth="1"/>
  </cols>
  <sheetData>
    <row r="1" spans="1:9" x14ac:dyDescent="0.2">
      <c r="B1" s="3" t="s">
        <v>3</v>
      </c>
      <c r="C1" s="5" t="s">
        <v>6</v>
      </c>
      <c r="D1" s="5" t="s">
        <v>7</v>
      </c>
      <c r="E1" s="5" t="s">
        <v>8</v>
      </c>
      <c r="F1" s="5" t="s">
        <v>14</v>
      </c>
      <c r="G1" s="5" t="s">
        <v>9</v>
      </c>
      <c r="H1" s="5" t="s">
        <v>10</v>
      </c>
      <c r="I1" s="7" t="s">
        <v>13</v>
      </c>
    </row>
    <row r="2" spans="1:9" x14ac:dyDescent="0.2">
      <c r="A2" s="6" t="s">
        <v>0</v>
      </c>
      <c r="B2" s="9">
        <v>2667.25</v>
      </c>
      <c r="C2" s="5">
        <v>2143.6687499999998</v>
      </c>
      <c r="D2" s="5">
        <v>2773.5437499999998</v>
      </c>
      <c r="E2" s="5">
        <v>2666.75</v>
      </c>
      <c r="F2" s="5">
        <v>2686.25</v>
      </c>
      <c r="G2" s="5">
        <v>1895.4625000000001</v>
      </c>
      <c r="H2" s="5">
        <v>2772.3343749999999</v>
      </c>
      <c r="I2" s="10">
        <f>LARGE(B2:H2,1)</f>
        <v>2773.5437499999998</v>
      </c>
    </row>
    <row r="3" spans="1:9" x14ac:dyDescent="0.2">
      <c r="A3" s="6" t="s">
        <v>1</v>
      </c>
      <c r="B3" s="9">
        <v>5762</v>
      </c>
      <c r="C3" s="5">
        <v>4629</v>
      </c>
      <c r="D3" s="5">
        <v>5990</v>
      </c>
      <c r="E3" s="5">
        <v>5761</v>
      </c>
      <c r="F3" s="5">
        <v>5800</v>
      </c>
      <c r="G3" s="5">
        <v>4094</v>
      </c>
      <c r="H3" s="5">
        <v>5990</v>
      </c>
      <c r="I3" s="10">
        <f t="shared" ref="I3:I4" si="0">LARGE(B3:H3,1)</f>
        <v>5990</v>
      </c>
    </row>
    <row r="4" spans="1:9" x14ac:dyDescent="0.2">
      <c r="A4" s="6" t="s">
        <v>2</v>
      </c>
      <c r="B4" s="9">
        <v>2137.5</v>
      </c>
      <c r="C4" s="5">
        <v>1708.3125</v>
      </c>
      <c r="D4" s="5">
        <v>2214.5625</v>
      </c>
      <c r="E4" s="5">
        <v>2137.5</v>
      </c>
      <c r="F4" s="5">
        <v>2137.5</v>
      </c>
      <c r="G4" s="5">
        <v>1515.375</v>
      </c>
      <c r="H4" s="5">
        <v>2226.65625</v>
      </c>
      <c r="I4" s="10">
        <f t="shared" si="0"/>
        <v>2226.65625</v>
      </c>
    </row>
    <row r="6" spans="1:9" x14ac:dyDescent="0.2">
      <c r="B6" s="3" t="s">
        <v>3</v>
      </c>
      <c r="C6" s="5" t="s">
        <v>6</v>
      </c>
      <c r="D6" s="5" t="s">
        <v>7</v>
      </c>
      <c r="E6" s="5" t="s">
        <v>8</v>
      </c>
      <c r="F6" s="5" t="s">
        <v>14</v>
      </c>
      <c r="G6" s="5" t="s">
        <v>9</v>
      </c>
      <c r="H6" s="5" t="s">
        <v>10</v>
      </c>
    </row>
    <row r="7" spans="1:9" x14ac:dyDescent="0.2">
      <c r="A7" s="8" t="s">
        <v>0</v>
      </c>
      <c r="B7" s="3">
        <f>B2/$B$2</f>
        <v>1</v>
      </c>
      <c r="C7" s="3">
        <f t="shared" ref="C7:H7" si="1">C2/$B$2</f>
        <v>0.80369997188115094</v>
      </c>
      <c r="D7" s="3">
        <f t="shared" si="1"/>
        <v>1.0398514387477737</v>
      </c>
      <c r="E7" s="3">
        <f t="shared" si="1"/>
        <v>0.99981254100665484</v>
      </c>
      <c r="F7" s="3">
        <f t="shared" si="1"/>
        <v>1.0071234417471178</v>
      </c>
      <c r="G7" s="3">
        <f t="shared" si="1"/>
        <v>0.7106429843471741</v>
      </c>
      <c r="H7" s="3">
        <f t="shared" si="1"/>
        <v>1.0393980223076202</v>
      </c>
    </row>
    <row r="8" spans="1:9" x14ac:dyDescent="0.2">
      <c r="A8" s="8" t="s">
        <v>1</v>
      </c>
      <c r="B8" s="3">
        <f>B3/$B$3</f>
        <v>1</v>
      </c>
      <c r="C8" s="3">
        <f t="shared" ref="C8:H8" si="2">C3/$B$3</f>
        <v>0.80336688649774379</v>
      </c>
      <c r="D8" s="3">
        <f t="shared" si="2"/>
        <v>1.0395695938910101</v>
      </c>
      <c r="E8" s="3">
        <f t="shared" si="2"/>
        <v>0.99982644914960084</v>
      </c>
      <c r="F8" s="3">
        <f t="shared" si="2"/>
        <v>1.0065949323151684</v>
      </c>
      <c r="G8" s="3">
        <f t="shared" si="2"/>
        <v>0.71051718153418952</v>
      </c>
      <c r="H8" s="3">
        <f t="shared" si="2"/>
        <v>1.0395695938910101</v>
      </c>
    </row>
    <row r="9" spans="1:9" x14ac:dyDescent="0.2">
      <c r="A9" s="8" t="s">
        <v>2</v>
      </c>
      <c r="B9" s="3">
        <f>B4/$B$4</f>
        <v>1</v>
      </c>
      <c r="C9" s="3">
        <f t="shared" ref="C9:H9" si="3">C4/$B$4</f>
        <v>0.79921052631578948</v>
      </c>
      <c r="D9" s="3">
        <f t="shared" si="3"/>
        <v>1.0360526315789473</v>
      </c>
      <c r="E9" s="3">
        <f t="shared" si="3"/>
        <v>1</v>
      </c>
      <c r="F9" s="3">
        <f t="shared" si="3"/>
        <v>1</v>
      </c>
      <c r="G9" s="3">
        <f t="shared" si="3"/>
        <v>0.70894736842105266</v>
      </c>
      <c r="H9" s="3">
        <f t="shared" si="3"/>
        <v>1.0417105263157895</v>
      </c>
    </row>
    <row r="14" spans="1:9" x14ac:dyDescent="0.2">
      <c r="C14" s="1"/>
    </row>
    <row r="24" spans="4:14" x14ac:dyDescent="0.2">
      <c r="D24">
        <v>0</v>
      </c>
    </row>
    <row r="28" spans="4:14" x14ac:dyDescent="0.2">
      <c r="K28" cm="1">
        <f t="array" ref="K28:N35">TRANSPOSE(A1:H4)</f>
        <v>0</v>
      </c>
      <c r="L28" t="str">
        <v>Revenues [CAD$]</v>
      </c>
      <c r="M28" t="str">
        <v>Number of passengers</v>
      </c>
      <c r="N28" t="str">
        <v>Energy charged [kWh]</v>
      </c>
    </row>
    <row r="29" spans="4:14" x14ac:dyDescent="0.2">
      <c r="K29" t="str">
        <v>Baseline</v>
      </c>
      <c r="L29">
        <v>2667.25</v>
      </c>
      <c r="M29">
        <v>5762</v>
      </c>
      <c r="N29">
        <v>2137.5</v>
      </c>
    </row>
    <row r="30" spans="4:14" x14ac:dyDescent="0.2">
      <c r="K30" t="str">
        <v>S1.1 (80 vehicles)</v>
      </c>
      <c r="L30">
        <v>2143.6687499999998</v>
      </c>
      <c r="M30">
        <v>4629</v>
      </c>
      <c r="N30">
        <v>1708.3125</v>
      </c>
    </row>
    <row r="31" spans="4:14" x14ac:dyDescent="0.2">
      <c r="K31" t="str">
        <v>S1.2 (120 vehicles)</v>
      </c>
      <c r="L31">
        <v>2773.5437499999998</v>
      </c>
      <c r="M31">
        <v>5990</v>
      </c>
      <c r="N31">
        <v>2214.5625</v>
      </c>
    </row>
    <row r="32" spans="4:14" x14ac:dyDescent="0.2">
      <c r="K32" t="str">
        <v>S2.1 (60 kWh)</v>
      </c>
      <c r="L32">
        <v>2666.75</v>
      </c>
      <c r="M32">
        <v>5761</v>
      </c>
      <c r="N32">
        <v>2137.5</v>
      </c>
    </row>
    <row r="33" spans="11:14" x14ac:dyDescent="0.2">
      <c r="K33" t="str">
        <v>S2.2 (100 kWh)</v>
      </c>
      <c r="L33">
        <v>2686.25</v>
      </c>
      <c r="M33">
        <v>5800</v>
      </c>
      <c r="N33">
        <v>2137.5</v>
      </c>
    </row>
    <row r="34" spans="11:14" x14ac:dyDescent="0.2">
      <c r="K34" t="str">
        <v>S3.1 (5 kW)</v>
      </c>
      <c r="L34">
        <v>1895.4625000000001</v>
      </c>
      <c r="M34">
        <v>4094</v>
      </c>
      <c r="N34">
        <v>1515.375</v>
      </c>
    </row>
    <row r="35" spans="11:14" x14ac:dyDescent="0.2">
      <c r="K35" t="str">
        <v>S3.2 (15kW)</v>
      </c>
      <c r="L35">
        <v>2772.3343749999999</v>
      </c>
      <c r="M35">
        <v>5990</v>
      </c>
      <c r="N35">
        <v>2226.65625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1AE7C-410B-B04F-81D7-BD01EA18CFBC}">
  <dimension ref="A1:Q48"/>
  <sheetViews>
    <sheetView tabSelected="1" zoomScale="109" zoomScaleNormal="200" workbookViewId="0">
      <selection activeCell="F2" sqref="F2"/>
    </sheetView>
  </sheetViews>
  <sheetFormatPr baseColWidth="10" defaultRowHeight="16" x14ac:dyDescent="0.2"/>
  <cols>
    <col min="1" max="1" width="19.83203125" customWidth="1"/>
    <col min="2" max="2" width="13.1640625" customWidth="1"/>
    <col min="3" max="4" width="17.6640625" customWidth="1"/>
    <col min="5" max="5" width="14.1640625" customWidth="1"/>
    <col min="6" max="6" width="15" customWidth="1"/>
    <col min="7" max="7" width="13" customWidth="1"/>
    <col min="8" max="8" width="12.5" customWidth="1"/>
    <col min="9" max="9" width="12.1640625" customWidth="1"/>
    <col min="10" max="10" width="13.1640625" customWidth="1"/>
    <col min="11" max="11" width="15" customWidth="1"/>
    <col min="12" max="12" width="15.6640625" customWidth="1"/>
  </cols>
  <sheetData>
    <row r="1" spans="1:13" x14ac:dyDescent="0.2">
      <c r="B1" s="3" t="s">
        <v>3</v>
      </c>
      <c r="C1" s="5" t="s">
        <v>6</v>
      </c>
      <c r="D1" s="5" t="s">
        <v>7</v>
      </c>
      <c r="E1" s="5" t="s">
        <v>8</v>
      </c>
      <c r="F1" s="5" t="s">
        <v>14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15</v>
      </c>
      <c r="L1" s="5" t="s">
        <v>16</v>
      </c>
      <c r="M1" s="10" t="s">
        <v>13</v>
      </c>
    </row>
    <row r="2" spans="1:13" x14ac:dyDescent="0.2">
      <c r="A2" s="11" t="s">
        <v>0</v>
      </c>
      <c r="B2" s="3">
        <v>1298.8680000000002</v>
      </c>
      <c r="C2" s="5">
        <v>1019.5369999999999</v>
      </c>
      <c r="D2" s="5">
        <v>1597.4790000000003</v>
      </c>
      <c r="E2" s="5">
        <v>1303.433</v>
      </c>
      <c r="F2" s="5">
        <v>1298.893</v>
      </c>
      <c r="G2" s="5">
        <v>613.59</v>
      </c>
      <c r="H2" s="5">
        <v>1716.106</v>
      </c>
      <c r="I2" s="5">
        <v>1343.5230000000001</v>
      </c>
      <c r="J2" s="5">
        <v>1366.625</v>
      </c>
      <c r="K2" s="5">
        <v>2667.25</v>
      </c>
      <c r="L2" s="5">
        <v>1649.6890000000001</v>
      </c>
      <c r="M2" s="10">
        <f>LARGE(B2:L2,1)</f>
        <v>2667.25</v>
      </c>
    </row>
    <row r="3" spans="1:13" x14ac:dyDescent="0.2">
      <c r="A3" s="11" t="s">
        <v>1</v>
      </c>
      <c r="B3" s="12">
        <v>1642</v>
      </c>
      <c r="C3" s="9">
        <v>1252</v>
      </c>
      <c r="D3" s="9">
        <v>2083</v>
      </c>
      <c r="E3" s="5">
        <v>1653</v>
      </c>
      <c r="F3" s="5">
        <v>1642</v>
      </c>
      <c r="G3" s="5">
        <v>287.00000168484848</v>
      </c>
      <c r="H3" s="5">
        <v>2509</v>
      </c>
      <c r="I3" s="5">
        <v>2040</v>
      </c>
      <c r="J3" s="5">
        <v>1150</v>
      </c>
      <c r="K3" s="9">
        <v>5762</v>
      </c>
      <c r="L3" s="5">
        <v>1617</v>
      </c>
      <c r="M3" s="10">
        <f>LARGE(B3:L3,1)</f>
        <v>5762</v>
      </c>
    </row>
    <row r="4" spans="1:13" x14ac:dyDescent="0.2">
      <c r="A4" s="11" t="s">
        <v>5</v>
      </c>
      <c r="B4" s="12">
        <v>1808.5</v>
      </c>
      <c r="C4" s="9">
        <v>1477.5</v>
      </c>
      <c r="D4" s="9">
        <v>2129.5</v>
      </c>
      <c r="E4" s="5">
        <v>1809</v>
      </c>
      <c r="F4" s="5">
        <v>1808</v>
      </c>
      <c r="G4" s="5">
        <v>1610.5</v>
      </c>
      <c r="H4" s="5">
        <v>1865</v>
      </c>
      <c r="I4" s="5">
        <v>1340.2777777777769</v>
      </c>
      <c r="J4" s="5">
        <v>2806.25</v>
      </c>
      <c r="K4" s="5">
        <v>0</v>
      </c>
      <c r="L4" s="5">
        <v>1810</v>
      </c>
      <c r="M4" s="10">
        <f>LARGE(B4:L4,1)</f>
        <v>2806.25</v>
      </c>
    </row>
    <row r="5" spans="1:13" x14ac:dyDescent="0.2">
      <c r="A5" s="11" t="s">
        <v>2</v>
      </c>
      <c r="B5" s="12">
        <v>2395.125</v>
      </c>
      <c r="C5" s="9">
        <v>1925.4375</v>
      </c>
      <c r="D5" s="9">
        <v>2887.3125</v>
      </c>
      <c r="E5" s="5">
        <v>2406.375</v>
      </c>
      <c r="F5" s="5">
        <v>2392.875</v>
      </c>
      <c r="G5" s="5">
        <v>1687.5000007108929</v>
      </c>
      <c r="H5" s="5">
        <v>2781.84375</v>
      </c>
      <c r="I5" s="5">
        <v>2081.25</v>
      </c>
      <c r="J5" s="5">
        <v>3215.25</v>
      </c>
      <c r="K5" s="9">
        <v>2137.5</v>
      </c>
      <c r="L5" s="5">
        <v>2387.8125</v>
      </c>
      <c r="M5" s="10">
        <f>LARGE(B5:L5,1)</f>
        <v>3215.25</v>
      </c>
    </row>
    <row r="6" spans="1:13" x14ac:dyDescent="0.2">
      <c r="A6" s="11" t="s">
        <v>4</v>
      </c>
      <c r="B6" s="12">
        <v>6.0283333333333333</v>
      </c>
      <c r="C6" s="9">
        <v>4.9250000000000016</v>
      </c>
      <c r="D6" s="9">
        <v>7.0983333333333372</v>
      </c>
      <c r="E6" s="5">
        <v>6.030000000000002</v>
      </c>
      <c r="F6" s="5">
        <v>6.0266666666666682</v>
      </c>
      <c r="G6" s="5">
        <v>5.3683333333333332</v>
      </c>
      <c r="H6" s="5">
        <v>6.2166666666666677</v>
      </c>
      <c r="I6" s="5">
        <v>4.4675925925925952</v>
      </c>
      <c r="J6" s="5">
        <v>9.3541666666666643</v>
      </c>
      <c r="K6" s="5">
        <v>0</v>
      </c>
      <c r="L6" s="5">
        <v>6.0333333333333359</v>
      </c>
      <c r="M6" s="10">
        <f>LARGE(B6:L6,1)</f>
        <v>9.3541666666666643</v>
      </c>
    </row>
    <row r="9" spans="1:13" x14ac:dyDescent="0.2">
      <c r="B9" s="3" t="s">
        <v>3</v>
      </c>
      <c r="C9" s="5" t="s">
        <v>6</v>
      </c>
      <c r="D9" s="5" t="s">
        <v>7</v>
      </c>
      <c r="E9" s="5" t="s">
        <v>8</v>
      </c>
      <c r="F9" s="5" t="s">
        <v>14</v>
      </c>
      <c r="G9" s="5" t="s">
        <v>9</v>
      </c>
      <c r="H9" s="5" t="s">
        <v>10</v>
      </c>
      <c r="I9" s="5" t="s">
        <v>11</v>
      </c>
      <c r="J9" s="5" t="s">
        <v>12</v>
      </c>
      <c r="K9" s="5" t="s">
        <v>16</v>
      </c>
    </row>
    <row r="10" spans="1:13" x14ac:dyDescent="0.2">
      <c r="A10" s="2" t="s">
        <v>0</v>
      </c>
      <c r="B10" s="3">
        <f>B2/$B$2</f>
        <v>1</v>
      </c>
      <c r="C10" s="4">
        <f t="shared" ref="C10:L10" si="0">C2/$B$2</f>
        <v>0.78494273475056731</v>
      </c>
      <c r="D10" s="4">
        <f t="shared" si="0"/>
        <v>1.2299009599127857</v>
      </c>
      <c r="E10" s="4">
        <f t="shared" si="0"/>
        <v>1.0035145988660894</v>
      </c>
      <c r="F10" s="4">
        <f t="shared" si="0"/>
        <v>1.000019247529387</v>
      </c>
      <c r="G10" s="4">
        <f t="shared" si="0"/>
        <v>0.47240366226591152</v>
      </c>
      <c r="H10" s="4">
        <f t="shared" si="0"/>
        <v>1.3212320266570581</v>
      </c>
      <c r="I10" s="4">
        <f t="shared" si="0"/>
        <v>1.0343799369912878</v>
      </c>
      <c r="J10" s="4">
        <f t="shared" si="0"/>
        <v>1.0521661939473448</v>
      </c>
      <c r="K10" s="4">
        <f>L2/$B$2</f>
        <v>1.2700975002848633</v>
      </c>
    </row>
    <row r="11" spans="1:13" x14ac:dyDescent="0.2">
      <c r="A11" s="2" t="s">
        <v>1</v>
      </c>
      <c r="B11" s="3">
        <f>B3/$B$3</f>
        <v>1</v>
      </c>
      <c r="C11" s="4">
        <f t="shared" ref="C11:L11" si="1">C3/$B$3</f>
        <v>0.76248477466504261</v>
      </c>
      <c r="D11" s="4">
        <f t="shared" si="1"/>
        <v>1.2685749086479903</v>
      </c>
      <c r="E11" s="4">
        <f t="shared" si="1"/>
        <v>1.0066991473812423</v>
      </c>
      <c r="F11" s="4">
        <f t="shared" si="1"/>
        <v>1</v>
      </c>
      <c r="G11" s="4">
        <f t="shared" si="1"/>
        <v>0.17478684633669214</v>
      </c>
      <c r="H11" s="4">
        <f t="shared" si="1"/>
        <v>1.5280146163215591</v>
      </c>
      <c r="I11" s="4">
        <f t="shared" si="1"/>
        <v>1.2423873325213155</v>
      </c>
      <c r="J11" s="4">
        <f t="shared" si="1"/>
        <v>0.70036540803897684</v>
      </c>
      <c r="K11" s="4">
        <f>L3/$B$3</f>
        <v>0.98477466504263089</v>
      </c>
    </row>
    <row r="12" spans="1:13" x14ac:dyDescent="0.2">
      <c r="A12" s="2" t="s">
        <v>5</v>
      </c>
      <c r="B12" s="3">
        <f>B4/$B$4</f>
        <v>1</v>
      </c>
      <c r="C12" s="4">
        <f t="shared" ref="C12:L12" si="2">C4/$B$4</f>
        <v>0.81697539397290575</v>
      </c>
      <c r="D12" s="4">
        <f t="shared" si="2"/>
        <v>1.1774951617362455</v>
      </c>
      <c r="E12" s="4">
        <f t="shared" si="2"/>
        <v>1.0002764722145425</v>
      </c>
      <c r="F12" s="4">
        <f t="shared" si="2"/>
        <v>0.99972352778545759</v>
      </c>
      <c r="G12" s="4">
        <f t="shared" si="2"/>
        <v>0.89051700304119441</v>
      </c>
      <c r="H12" s="4">
        <f t="shared" si="2"/>
        <v>1.0312413602432955</v>
      </c>
      <c r="I12" s="4">
        <f t="shared" si="2"/>
        <v>0.74109913064848043</v>
      </c>
      <c r="J12" s="4">
        <f t="shared" si="2"/>
        <v>1.5517003041194359</v>
      </c>
      <c r="K12" s="4">
        <f>L4/$B$4</f>
        <v>1.0008294166436273</v>
      </c>
    </row>
    <row r="13" spans="1:13" x14ac:dyDescent="0.2">
      <c r="A13" s="2" t="s">
        <v>2</v>
      </c>
      <c r="B13" s="3">
        <f>B5/$B$5</f>
        <v>1</v>
      </c>
      <c r="C13" s="4">
        <f t="shared" ref="C13:L13" si="3">C5/$B$5</f>
        <v>0.80389854391733206</v>
      </c>
      <c r="D13" s="4">
        <f t="shared" si="3"/>
        <v>1.2054955378111789</v>
      </c>
      <c r="E13" s="4">
        <f t="shared" si="3"/>
        <v>1.0046970408642555</v>
      </c>
      <c r="F13" s="4">
        <f t="shared" si="3"/>
        <v>0.9990605918271489</v>
      </c>
      <c r="G13" s="4">
        <f t="shared" si="3"/>
        <v>0.70455612993513617</v>
      </c>
      <c r="H13" s="4">
        <f t="shared" si="3"/>
        <v>1.1614607797087835</v>
      </c>
      <c r="I13" s="4">
        <f t="shared" si="3"/>
        <v>0.86895255988727105</v>
      </c>
      <c r="J13" s="4">
        <f t="shared" si="3"/>
        <v>1.3424142790042273</v>
      </c>
      <c r="K13" s="4">
        <f>L5/$B$5</f>
        <v>0.99694692343823388</v>
      </c>
    </row>
    <row r="14" spans="1:13" x14ac:dyDescent="0.2">
      <c r="A14" s="2" t="s">
        <v>4</v>
      </c>
      <c r="B14" s="3">
        <f>B6/$B$6</f>
        <v>1</v>
      </c>
      <c r="C14" s="4">
        <f t="shared" ref="C14:L14" si="4">C6/$B$6</f>
        <v>0.81697539397290597</v>
      </c>
      <c r="D14" s="4">
        <f t="shared" si="4"/>
        <v>1.1774951617362461</v>
      </c>
      <c r="E14" s="4">
        <f t="shared" si="4"/>
        <v>1.0002764722145427</v>
      </c>
      <c r="F14" s="4">
        <f t="shared" si="4"/>
        <v>0.99972352778545781</v>
      </c>
      <c r="G14" s="4">
        <f t="shared" si="4"/>
        <v>0.8905170030411943</v>
      </c>
      <c r="H14" s="4">
        <f t="shared" si="4"/>
        <v>1.0312413602432957</v>
      </c>
      <c r="I14" s="4">
        <f t="shared" si="4"/>
        <v>0.74109913064848143</v>
      </c>
      <c r="J14" s="4">
        <f t="shared" si="4"/>
        <v>1.5517003041194357</v>
      </c>
      <c r="K14" s="4">
        <f>L6/$B$6</f>
        <v>1.0008294166436278</v>
      </c>
    </row>
    <row r="37" spans="12:17" x14ac:dyDescent="0.2">
      <c r="L37" cm="1">
        <f t="array" ref="L37:Q48">TRANSPOSE(A1:L6)</f>
        <v>0</v>
      </c>
      <c r="M37" t="str">
        <v>Revenues [CAD$]</v>
      </c>
      <c r="N37" t="str">
        <v>Number of passengers</v>
      </c>
      <c r="O37" t="str">
        <v>Energy provided [kWh]</v>
      </c>
      <c r="P37" t="str">
        <v>Energy charged [kWh]</v>
      </c>
      <c r="Q37" t="str">
        <v>Degradation cots [CAS$]</v>
      </c>
    </row>
    <row r="38" spans="12:17" x14ac:dyDescent="0.2">
      <c r="L38" t="str">
        <v>Baseline</v>
      </c>
      <c r="M38">
        <v>1298.8680000000002</v>
      </c>
      <c r="N38">
        <v>1642</v>
      </c>
      <c r="O38">
        <v>1808.5</v>
      </c>
      <c r="P38">
        <v>2395.125</v>
      </c>
      <c r="Q38">
        <v>6.0283333333333333</v>
      </c>
    </row>
    <row r="39" spans="12:17" x14ac:dyDescent="0.2">
      <c r="L39" t="str">
        <v>S1.1 (80 vehicles)</v>
      </c>
      <c r="M39">
        <v>1019.5369999999999</v>
      </c>
      <c r="N39">
        <v>1252</v>
      </c>
      <c r="O39">
        <v>1477.5</v>
      </c>
      <c r="P39">
        <v>1925.4375</v>
      </c>
      <c r="Q39">
        <v>4.9250000000000016</v>
      </c>
    </row>
    <row r="40" spans="12:17" x14ac:dyDescent="0.2">
      <c r="L40" t="str">
        <v>S1.2 (120 vehicles)</v>
      </c>
      <c r="M40">
        <v>1597.4790000000003</v>
      </c>
      <c r="N40">
        <v>2083</v>
      </c>
      <c r="O40">
        <v>2129.5</v>
      </c>
      <c r="P40">
        <v>2887.3125</v>
      </c>
      <c r="Q40">
        <v>7.0983333333333372</v>
      </c>
    </row>
    <row r="41" spans="12:17" x14ac:dyDescent="0.2">
      <c r="L41" t="str">
        <v>S2.1 (60 kWh)</v>
      </c>
      <c r="M41">
        <v>1303.433</v>
      </c>
      <c r="N41">
        <v>1653</v>
      </c>
      <c r="O41">
        <v>1809</v>
      </c>
      <c r="P41">
        <v>2406.375</v>
      </c>
      <c r="Q41">
        <v>6.030000000000002</v>
      </c>
    </row>
    <row r="42" spans="12:17" x14ac:dyDescent="0.2">
      <c r="L42" t="str">
        <v>S2.2 (100 kWh)</v>
      </c>
      <c r="M42">
        <v>1298.893</v>
      </c>
      <c r="N42">
        <v>1642</v>
      </c>
      <c r="O42">
        <v>1808</v>
      </c>
      <c r="P42">
        <v>2392.875</v>
      </c>
      <c r="Q42">
        <v>6.0266666666666682</v>
      </c>
    </row>
    <row r="43" spans="12:17" x14ac:dyDescent="0.2">
      <c r="L43" t="str">
        <v>S3.1 (5 kW)</v>
      </c>
      <c r="M43">
        <v>613.59</v>
      </c>
      <c r="N43">
        <v>287.00000168484848</v>
      </c>
      <c r="O43">
        <v>1610.5</v>
      </c>
      <c r="P43">
        <v>1687.5000007108929</v>
      </c>
      <c r="Q43">
        <v>5.3683333333333332</v>
      </c>
    </row>
    <row r="44" spans="12:17" x14ac:dyDescent="0.2">
      <c r="L44" t="str">
        <v>S3.2 (15kW)</v>
      </c>
      <c r="M44">
        <v>1716.106</v>
      </c>
      <c r="N44">
        <v>2509</v>
      </c>
      <c r="O44">
        <v>1865</v>
      </c>
      <c r="P44">
        <v>2781.84375</v>
      </c>
      <c r="Q44">
        <v>6.2166666666666677</v>
      </c>
    </row>
    <row r="45" spans="12:17" x14ac:dyDescent="0.2">
      <c r="L45" t="str">
        <v>S4.1 (10 kW)</v>
      </c>
      <c r="M45">
        <v>1343.5230000000001</v>
      </c>
      <c r="N45">
        <v>2040</v>
      </c>
      <c r="O45">
        <v>1340.2777777777769</v>
      </c>
      <c r="P45">
        <v>2081.25</v>
      </c>
      <c r="Q45">
        <v>4.4675925925925952</v>
      </c>
    </row>
    <row r="46" spans="12:17" x14ac:dyDescent="0.2">
      <c r="L46" t="str">
        <v>S4.2 (15 kW)</v>
      </c>
      <c r="M46">
        <v>1366.625</v>
      </c>
      <c r="N46">
        <v>1150</v>
      </c>
      <c r="O46">
        <v>2806.25</v>
      </c>
      <c r="P46">
        <v>3215.25</v>
      </c>
      <c r="Q46">
        <v>9.3541666666666643</v>
      </c>
    </row>
    <row r="47" spans="12:17" x14ac:dyDescent="0.2">
      <c r="L47" t="str">
        <v>S5.1 (0.2 CAD$)</v>
      </c>
      <c r="M47">
        <v>2667.25</v>
      </c>
      <c r="N47">
        <v>5762</v>
      </c>
      <c r="O47">
        <v>0</v>
      </c>
      <c r="P47">
        <v>2137.5</v>
      </c>
      <c r="Q47">
        <v>0</v>
      </c>
    </row>
    <row r="48" spans="12:17" x14ac:dyDescent="0.2">
      <c r="L48" t="str">
        <v>S5.2 (0.6 CAD$)</v>
      </c>
      <c r="M48">
        <v>1649.6890000000001</v>
      </c>
      <c r="N48">
        <v>1617</v>
      </c>
      <c r="O48">
        <v>1810</v>
      </c>
      <c r="P48">
        <v>2387.8125</v>
      </c>
      <c r="Q48">
        <v>6.0333333333333359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Transportation</vt:lpstr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Jônatas Augusto Manzolli</dc:creator>
  <cp:lastModifiedBy>Jônatas Augusto Manzolli</cp:lastModifiedBy>
  <dcterms:created xsi:type="dcterms:W3CDTF">2024-08-18T16:52:21Z</dcterms:created>
  <dcterms:modified xsi:type="dcterms:W3CDTF">2024-08-19T18:04:57Z</dcterms:modified>
</cp:coreProperties>
</file>